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ная" sheetId="1" state="visible" r:id="rId3"/>
    <sheet name="Карточки" sheetId="2" state="visible" r:id="rId4"/>
    <sheet name="Веса и шкалы" sheetId="3" state="visible" r:id="rId5"/>
    <sheet name="Кластеры" sheetId="4" state="visible" r:id="rId6"/>
    <sheet name="Занятые ниши" sheetId="5" state="visible" r:id="rId7"/>
    <sheet name="Второй эшелон" sheetId="6" state="visible" r:id="rId8"/>
    <sheet name="Правила рынка 2026" sheetId="7" state="visible" r:id="rId9"/>
    <sheet name="Источники" sheetId="8" state="visible" r:id="rId10"/>
  </sheets>
  <definedNames>
    <definedName function="false" hidden="false" localSheetId="5" name="_xlnm.Print_Titles" vbProcedure="false">'Второй эшелон'!$1:$1</definedName>
    <definedName function="false" hidden="false" localSheetId="4" name="_xlnm.Print_Titles" vbProcedure="false">'Занятые ниши'!$1:$1</definedName>
    <definedName function="false" hidden="false" localSheetId="7" name="_xlnm.Print_Titles" vbProcedure="false">Источники!$1:$1</definedName>
    <definedName function="false" hidden="false" localSheetId="1" name="_xlnm.Print_Titles" vbProcedure="false">Карточки!$A:$B,Карточки!$1:$1</definedName>
    <definedName function="false" hidden="true" localSheetId="1" name="_xlnm._FilterDatabase" vbProcedure="false">Карточки!$A$1:$O$35</definedName>
    <definedName function="false" hidden="false" localSheetId="3" name="_xlnm.Print_Titles" vbProcedure="false">Кластеры!$1:$1</definedName>
    <definedName function="false" hidden="false" localSheetId="6" name="_xlnm.Print_Titles" vbProcedure="false">'Правила рынка 2026'!$1:$1</definedName>
    <definedName function="false" hidden="false" localSheetId="0" name="_xlnm.Print_Titles" vbProcedure="false">Сводная!$A:$C,Сводная!$4:$4</definedName>
    <definedName function="false" hidden="true" localSheetId="0" name="_xlnm._FilterDatabase" vbProcedure="false">Сводная!$A$4:$Q$38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Анализ</author>
  </authors>
  <commentList>
    <comment ref="A4" authorId="0">
      <text>
        <r>
          <rPr>
            <sz val="10"/>
            <rFont val="Arial"/>
            <family val="2"/>
          </rPr>
          <t xml:space="preserve">Место по баллу (формула). При равном балле выше идёт меньший ID.</t>
        </r>
      </text>
    </comment>
    <comment ref="D4" authorId="0">
      <text>
        <r>
          <rPr>
            <sz val="10"/>
            <rFont val="Arial"/>
            <family val="2"/>
          </rPr>
          <t xml:space="preserve">«Есть в мире» — сервис работает за рубежом, а в РФ его нет или он в зачатке. «Новое» — массовых аналогов не найдено нигде.</t>
        </r>
      </text>
    </comment>
    <comment ref="E4" authorId="0">
      <text>
        <r>
          <rPr>
            <sz val="10"/>
            <rFont val="Arial"/>
            <family val="2"/>
          </rPr>
          <t xml:space="preserve">Взвешенная сумма шести оценок, считается формулой. Веса — на листе «Веса и шкалы».</t>
        </r>
      </text>
    </comment>
    <comment ref="H4" authorId="0">
      <text>
        <r>
          <rPr>
            <sz val="10"/>
            <rFont val="Arial"/>
            <family val="2"/>
          </rPr>
          <t xml:space="preserve">Экспертная оценка. 1 — MVP за 1–3 недели одним разработчиком с Claude Code; 2 — 1–2 месяца; 3 — 2–4 месяца; 4 — 4–6+ месяцев; 5 — больше 8 месяцев.</t>
        </r>
      </text>
    </comment>
    <comment ref="I4" authorId="0">
      <text>
        <r>
          <rPr>
            <sz val="10"/>
            <rFont val="Arial"/>
            <family val="2"/>
          </rPr>
          <t xml:space="preserve">Экспертная оценка. 1 — до ~0,3 млн ₽; 2 — 0,3–1 млн; 3 — 1–3 млн; 4 — больше 3 млн. Без зарплаты основателя и маркетинга.</t>
        </r>
      </text>
    </comment>
    <comment ref="L4" authorId="0">
      <text>
        <r>
          <rPr>
            <sz val="10"/>
            <rFont val="Arial"/>
            <family val="2"/>
          </rPr>
          <t xml:space="preserve">Экспертная оценка выручки в месяц через ~2 года при успехе: 1 — до 0,5 млн ₽; 2 — 0,5–2 млн; 3 — 2–10 млн; 4 — 10–50 млн; 5 — больше 50 млн.</t>
        </r>
      </text>
    </comment>
    <comment ref="M4" authorId="0">
      <text>
        <r>
          <rPr>
            <sz val="10"/>
            <rFont val="Arial"/>
            <family val="2"/>
          </rPr>
          <t xml:space="preserve">Экспертная оценка охвата: 1 — до 50 тыс. пользователей; 2 — до 300 тыс.; 3 — до 1–2 млн; 4 — до 5–10 млн; 5 — больше 10 млн.</t>
        </r>
      </text>
    </comment>
    <comment ref="N4" authorId="0">
      <text>
        <r>
          <rPr>
            <sz val="10"/>
            <rFont val="Arial"/>
            <family val="2"/>
          </rPr>
          <t xml:space="preserve">Насколько ниша в РФ уже занята, по результатам поиска на октябрь 2026 года.</t>
        </r>
      </text>
    </comment>
    <comment ref="O4" authorId="0">
      <text>
        <r>
          <rPr>
            <sz val="10"/>
            <rFont val="Arial"/>
            <family val="2"/>
          </rPr>
          <t xml:space="preserve">Регуляторные и правовые риски в РФ: персональные данные, медицина, телефония, платформы.</t>
        </r>
      </text>
    </comment>
  </commentList>
</comments>
</file>

<file path=xl/sharedStrings.xml><?xml version="1.0" encoding="utf-8"?>
<sst xmlns="http://schemas.openxmlformats.org/spreadsheetml/2006/main" count="1080" uniqueCount="699">
  <si>
    <t xml:space="preserve">Онлайн-сервисы для России: 34 идеи, которые можно сделать с Claude Code (срез на 20.10.2026)</t>
  </si>
  <si>
    <t xml:space="preserve">Синие ячейки и цветные столбцы «Тип», «Конкуренция в РФ», «Регуляторный риск» — экспертные оценки, их можно менять (в цветных столбцах — выпадающие списки).</t>
  </si>
  <si>
    <t xml:space="preserve">Балл, место и стоимость в рублях считаются формулами; веса — на листе «Веса и шкалы». Подробное описание каждой идеи — на листе «Карточки».</t>
  </si>
  <si>
    <t xml:space="preserve">Место</t>
  </si>
  <si>
    <t xml:space="preserve">ID</t>
  </si>
  <si>
    <t xml:space="preserve">Продукт</t>
  </si>
  <si>
    <t xml:space="preserve">Тип</t>
  </si>
  <si>
    <t xml:space="preserve">Балл
(0–100)</t>
  </si>
  <si>
    <t xml:space="preserve">Категория</t>
  </si>
  <si>
    <t xml:space="preserve">Аналог в мире</t>
  </si>
  <si>
    <t xml:space="preserve">Сложность (1–5)</t>
  </si>
  <si>
    <t xml:space="preserve">Стоимость MVP, уровень (1–4)</t>
  </si>
  <si>
    <t xml:space="preserve">Стоимость MVP</t>
  </si>
  <si>
    <t xml:space="preserve">Срок MVP</t>
  </si>
  <si>
    <t xml:space="preserve">Прибыльность (1–5)</t>
  </si>
  <si>
    <t xml:space="preserve">Популярность (1–5)</t>
  </si>
  <si>
    <t xml:space="preserve">Конкуренция в РФ</t>
  </si>
  <si>
    <t xml:space="preserve">Регуляторный риск</t>
  </si>
  <si>
    <t xml:space="preserve">Монетизация</t>
  </si>
  <si>
    <t xml:space="preserve">Канал запуска</t>
  </si>
  <si>
    <t xml:space="preserve">N01</t>
  </si>
  <si>
    <t xml:space="preserve">«Прививка от мошенников» — AI-тренажёр звонков</t>
  </si>
  <si>
    <t xml:space="preserve">Новое</t>
  </si>
  <si>
    <t xml:space="preserve">Семья</t>
  </si>
  <si>
    <t xml:space="preserve">Прямых нет (ScamDrill — текстовые симуляции)</t>
  </si>
  <si>
    <t xml:space="preserve">2–3 мес.</t>
  </si>
  <si>
    <t xml:space="preserve">Нет</t>
  </si>
  <si>
    <t xml:space="preserve">Средний</t>
  </si>
  <si>
    <t xml:space="preserve">Семейная подписка, B2B для банков и работодателей</t>
  </si>
  <si>
    <t xml:space="preserve">Приложение, Max, телефония</t>
  </si>
  <si>
    <t xml:space="preserve">N02</t>
  </si>
  <si>
    <t xml:space="preserve">«ЖКХ-аудитор» — проверка квитанций и перерасчёт</t>
  </si>
  <si>
    <t xml:space="preserve">Дом и деньги</t>
  </si>
  <si>
    <t xml:space="preserve">Прямых нет</t>
  </si>
  <si>
    <t xml:space="preserve">Низкий</t>
  </si>
  <si>
    <t xml:space="preserve">Фримиум, % от возврата, подписка для ТСЖ</t>
  </si>
  <si>
    <t xml:space="preserve">Веб, Max</t>
  </si>
  <si>
    <t xml:space="preserve">M01</t>
  </si>
  <si>
    <t xml:space="preserve">«Слово дня+» — хаб ежедневных головоломок</t>
  </si>
  <si>
    <t xml:space="preserve">Есть в мире</t>
  </si>
  <si>
    <t xml:space="preserve">Игры</t>
  </si>
  <si>
    <t xml:space="preserve">NYT Games (Wordle, Connections)</t>
  </si>
  <si>
    <t xml:space="preserve">2–4 нед.</t>
  </si>
  <si>
    <t xml:space="preserve">Средняя</t>
  </si>
  <si>
    <t xml:space="preserve">Реклама, премиум, white-label для СМИ и банков</t>
  </si>
  <si>
    <t xml:space="preserve">Яндекс Игры, VK, Max, веб</t>
  </si>
  <si>
    <t xml:space="preserve">M15</t>
  </si>
  <si>
    <t xml:space="preserve">«Юрист-автомат»: претензии, жалобы, проверка договоров</t>
  </si>
  <si>
    <t xml:space="preserve">DoNotPay</t>
  </si>
  <si>
    <t xml:space="preserve">1,5–3 мес.</t>
  </si>
  <si>
    <t xml:space="preserve">Низкая</t>
  </si>
  <si>
    <t xml:space="preserve">Оплата за документ, % от возврата</t>
  </si>
  <si>
    <t xml:space="preserve">Веб</t>
  </si>
  <si>
    <t xml:space="preserve">N06</t>
  </si>
  <si>
    <t xml:space="preserve">«AI-тамада» — праздник под ключ про конкретного человека</t>
  </si>
  <si>
    <t xml:space="preserve">Досуг</t>
  </si>
  <si>
    <t xml:space="preserve">Только генераторы тостов</t>
  </si>
  <si>
    <t xml:space="preserve">1–2 мес.</t>
  </si>
  <si>
    <t xml:space="preserve">Оплата за праздник, подписка для ведущих</t>
  </si>
  <si>
    <t xml:space="preserve">N03</t>
  </si>
  <si>
    <t xml:space="preserve">«AI-прораб» — смета, приёмка, претензии</t>
  </si>
  <si>
    <t xml:space="preserve">Частично: проверка смет «Вс на стройку»</t>
  </si>
  <si>
    <t xml:space="preserve">Разовые проверки, подписка, лиды бригадам</t>
  </si>
  <si>
    <t xml:space="preserve">Веб, RuStore</t>
  </si>
  <si>
    <t xml:space="preserve">M03</t>
  </si>
  <si>
    <t xml:space="preserve">AI-алхимия «Бесконечное ремесло»</t>
  </si>
  <si>
    <t xml:space="preserve">Infinite Craft</t>
  </si>
  <si>
    <t xml:space="preserve">1–3 нед.</t>
  </si>
  <si>
    <t xml:space="preserve">Реклама, подсказки</t>
  </si>
  <si>
    <t xml:space="preserve">Яндекс Игры, VK</t>
  </si>
  <si>
    <t xml:space="preserve">M18</t>
  </si>
  <si>
    <t xml:space="preserve">AI-планировщик путешествий по России</t>
  </si>
  <si>
    <t xml:space="preserve">Путешествия</t>
  </si>
  <si>
    <t xml:space="preserve">Wanderlog, Mindtrip</t>
  </si>
  <si>
    <t xml:space="preserve">Партнёрские комиссии за бронирования</t>
  </si>
  <si>
    <t xml:space="preserve">N04</t>
  </si>
  <si>
    <t xml:space="preserve">«Мафия» с AI-игроками и AI-ведущим</t>
  </si>
  <si>
    <t xml:space="preserve">Только исследования (Werewolf Arena)</t>
  </si>
  <si>
    <t xml:space="preserve">Премиум, подписка, реклама</t>
  </si>
  <si>
    <t xml:space="preserve">Мини-приложение VK/Max, Яндекс Игры</t>
  </si>
  <si>
    <t xml:space="preserve">M02</t>
  </si>
  <si>
    <t xml:space="preserve">Party-игры с телефонами вместо пультов</t>
  </si>
  <si>
    <t xml:space="preserve">Jackbox Games</t>
  </si>
  <si>
    <t xml:space="preserve">Паки игр, лицензии на корпоративы</t>
  </si>
  <si>
    <t xml:space="preserve">Веб/Smart TV, VK Play</t>
  </si>
  <si>
    <t xml:space="preserve">M08</t>
  </si>
  <si>
    <t xml:space="preserve">«Семейная книга» — воспоминания родителей в печатной книге</t>
  </si>
  <si>
    <t xml:space="preserve">StoryWorth, Remento</t>
  </si>
  <si>
    <t xml:space="preserve">Подарок 5–10 тыс. ₽</t>
  </si>
  <si>
    <t xml:space="preserve">M11</t>
  </si>
  <si>
    <t xml:space="preserve">AI-тренер собеседований и выступлений</t>
  </si>
  <si>
    <t xml:space="preserve">Образование</t>
  </si>
  <si>
    <t xml:space="preserve">Yoodli, Interview Warmup</t>
  </si>
  <si>
    <t xml:space="preserve">Подписка, B2B для вузов и онлайн-школ</t>
  </si>
  <si>
    <t xml:space="preserve">M12</t>
  </si>
  <si>
    <t xml:space="preserve">AI-проверка сочинений и задач ЕГЭ/ОГЭ</t>
  </si>
  <si>
    <t xml:space="preserve">EssayGrader, Gauth</t>
  </si>
  <si>
    <t xml:space="preserve">Оплата за проверку, сезонная подписка, B2B</t>
  </si>
  <si>
    <t xml:space="preserve">Веб, VK, Max</t>
  </si>
  <si>
    <t xml:space="preserve">M14</t>
  </si>
  <si>
    <t xml:space="preserve">Кабинет частного арендодателя</t>
  </si>
  <si>
    <t xml:space="preserve">TurboTenant, Avail</t>
  </si>
  <si>
    <t xml:space="preserve">Подписка за объект, проверка арендатора</t>
  </si>
  <si>
    <t xml:space="preserve">M06</t>
  </si>
  <si>
    <t xml:space="preserve">Счётчик калорий по фото еды</t>
  </si>
  <si>
    <t xml:space="preserve">Здоровье</t>
  </si>
  <si>
    <t xml:space="preserve">Cal AI</t>
  </si>
  <si>
    <t xml:space="preserve">Подписка</t>
  </si>
  <si>
    <t xml:space="preserve">RuStore, веб, iOS</t>
  </si>
  <si>
    <t xml:space="preserve">M09</t>
  </si>
  <si>
    <t xml:space="preserve">«Собеседник» — AI-звонки пожилым родителям</t>
  </si>
  <si>
    <t xml:space="preserve">Joy Calls, Meela</t>
  </si>
  <si>
    <t xml:space="preserve">3–4 мес.</t>
  </si>
  <si>
    <t xml:space="preserve">Семейная подписка, B2B</t>
  </si>
  <si>
    <t xml:space="preserve">Телефония, веб-кабинет</t>
  </si>
  <si>
    <t xml:space="preserve">N05</t>
  </si>
  <si>
    <t xml:space="preserve">«AI-детектив дня» — допроси подозреваемых</t>
  </si>
  <si>
    <t xml:space="preserve">Инди-эксперименты (CASE ZERO)</t>
  </si>
  <si>
    <t xml:space="preserve">Реклама, платные дела</t>
  </si>
  <si>
    <t xml:space="preserve">Яндекс Игры, веб</t>
  </si>
  <si>
    <t xml:space="preserve">N08</t>
  </si>
  <si>
    <t xml:space="preserve">«Секретарь» родительского и домового чата</t>
  </si>
  <si>
    <t xml:space="preserve">Только универсальные суммаризаторы</t>
  </si>
  <si>
    <t xml:space="preserve">3–6 нед.</t>
  </si>
  <si>
    <t xml:space="preserve">Фримиум за чат, комиссия с совместных заказов</t>
  </si>
  <si>
    <t xml:space="preserve">Бот в Max</t>
  </si>
  <si>
    <t xml:space="preserve">M05</t>
  </si>
  <si>
    <t xml:space="preserve">«Хрущёвка: ремонт мечты» — ностальгическая merge-игра</t>
  </si>
  <si>
    <t xml:space="preserve">Homescapes, Merge Mansion</t>
  </si>
  <si>
    <t xml:space="preserve">3–5 мес.</t>
  </si>
  <si>
    <t xml:space="preserve">Покупки в игре, реклама</t>
  </si>
  <si>
    <t xml:space="preserve">Яндекс Игры, RuStore</t>
  </si>
  <si>
    <t xml:space="preserve">M22</t>
  </si>
  <si>
    <t xml:space="preserve">Меню на неделю из того, что сейчас по акции</t>
  </si>
  <si>
    <t xml:space="preserve">Еда</t>
  </si>
  <si>
    <t xml:space="preserve">Mealime + Flipp</t>
  </si>
  <si>
    <t xml:space="preserve">Партнёрки доставок, премиум</t>
  </si>
  <si>
    <t xml:space="preserve">M07</t>
  </si>
  <si>
    <t xml:space="preserve">Ужины с незнакомцами «Шестеро»</t>
  </si>
  <si>
    <t xml:space="preserve">Timeleft</t>
  </si>
  <si>
    <t xml:space="preserve">Подписка или билет на ужин</t>
  </si>
  <si>
    <t xml:space="preserve">Мини-приложение Max/VK, веб</t>
  </si>
  <si>
    <t xml:space="preserve">M24</t>
  </si>
  <si>
    <t xml:space="preserve">Цифровой двойник эксперта для онлайн-школ</t>
  </si>
  <si>
    <t xml:space="preserve">B2B</t>
  </si>
  <si>
    <t xml:space="preserve">Delphi.ai</t>
  </si>
  <si>
    <t xml:space="preserve">B2B-подписка + % с продаж</t>
  </si>
  <si>
    <t xml:space="preserve">Прямые продажи, GetCourse-экосистема</t>
  </si>
  <si>
    <t xml:space="preserve">M19</t>
  </si>
  <si>
    <t xml:space="preserve">«Рассказчик за окном» — GPS-аудиогид для поездов и трасс</t>
  </si>
  <si>
    <t xml:space="preserve">Autio, GuideAlong</t>
  </si>
  <si>
    <t xml:space="preserve">Оплата за маршрут, подписка</t>
  </si>
  <si>
    <t xml:space="preserve">RuStore, iOS</t>
  </si>
  <si>
    <t xml:space="preserve">M21</t>
  </si>
  <si>
    <t xml:space="preserve">«Дачный помощник»: болезни по фото, заморозки, календарь</t>
  </si>
  <si>
    <t xml:space="preserve">Plantix, PictureThis</t>
  </si>
  <si>
    <t xml:space="preserve">Фримиум, партнёрки садовых магазинов</t>
  </si>
  <si>
    <t xml:space="preserve">RuStore, Max</t>
  </si>
  <si>
    <t xml:space="preserve">N09</t>
  </si>
  <si>
    <t xml:space="preserve">«AI-тайный покупатель» для сетей и франшиз</t>
  </si>
  <si>
    <t xml:space="preserve">Классические агентства тайных покупателей</t>
  </si>
  <si>
    <t xml:space="preserve">B2B-подписка за точку</t>
  </si>
  <si>
    <t xml:space="preserve">Прямые продажи</t>
  </si>
  <si>
    <t xml:space="preserve">N07</t>
  </si>
  <si>
    <t xml:space="preserve">«Второй пилот пациента» — подготовка к приёму и разбор после</t>
  </si>
  <si>
    <t xml:space="preserve">AI-ассистенты есть у врачей, у пациентов — нет</t>
  </si>
  <si>
    <t xml:space="preserve">Высокий</t>
  </si>
  <si>
    <t xml:space="preserve">Подписка, B2B для клиник</t>
  </si>
  <si>
    <t xml:space="preserve">M04</t>
  </si>
  <si>
    <t xml:space="preserve">«Где это?» — угадай место по панорамам России</t>
  </si>
  <si>
    <t xml:space="preserve">GeoGuessr</t>
  </si>
  <si>
    <t xml:space="preserve">Реклама, премиум, спонсорство регионов</t>
  </si>
  <si>
    <t xml:space="preserve">M16</t>
  </si>
  <si>
    <t xml:space="preserve">Помощник должника: банкротство через МФЦ</t>
  </si>
  <si>
    <t xml:space="preserve">Upsolve</t>
  </si>
  <si>
    <t xml:space="preserve">Фикс за сопровождение, лиды юристам</t>
  </si>
  <si>
    <t xml:space="preserve">M17</t>
  </si>
  <si>
    <t xml:space="preserve">Навигатор льгот и выплат</t>
  </si>
  <si>
    <t xml:space="preserve">entitledto, benefits screeners</t>
  </si>
  <si>
    <t xml:space="preserve">Фримиум, помощь в оформлении, B2B</t>
  </si>
  <si>
    <t xml:space="preserve">M20</t>
  </si>
  <si>
    <t xml:space="preserve">«Спасённая еда» — излишки заведений со скидкой</t>
  </si>
  <si>
    <t xml:space="preserve">Too Good To Go</t>
  </si>
  <si>
    <t xml:space="preserve">Комиссия с бокса</t>
  </si>
  <si>
    <t xml:space="preserve">Мини-приложение Max/VK, RuStore</t>
  </si>
  <si>
    <t xml:space="preserve">M25</t>
  </si>
  <si>
    <t xml:space="preserve">Музыкальный тренер с распознаванием звука</t>
  </si>
  <si>
    <t xml:space="preserve">Yousician, Simply Piano</t>
  </si>
  <si>
    <t xml:space="preserve">4–6 мес.</t>
  </si>
  <si>
    <t xml:space="preserve">M10</t>
  </si>
  <si>
    <t xml:space="preserve">Китайский с AI-тренером тонов</t>
  </si>
  <si>
    <t xml:space="preserve">HelloChinese, Praktika</t>
  </si>
  <si>
    <t xml:space="preserve">Подписка, B2B</t>
  </si>
  <si>
    <t xml:space="preserve">RuStore, iOS, веб</t>
  </si>
  <si>
    <t xml:space="preserve">M13</t>
  </si>
  <si>
    <t xml:space="preserve">AI-помощник учителя</t>
  </si>
  <si>
    <t xml:space="preserve">MagicSchool AI</t>
  </si>
  <si>
    <t xml:space="preserve">Фримиум, B2B для школ</t>
  </si>
  <si>
    <t xml:space="preserve">M23</t>
  </si>
  <si>
    <t xml:space="preserve">Голосовой AI-администратор для малого бизнеса</t>
  </si>
  <si>
    <t xml:space="preserve">Goodcall, Slang.ai</t>
  </si>
  <si>
    <t xml:space="preserve">Прямые продажи, маркетплейсы YCLIENTS/amoCRM</t>
  </si>
  <si>
    <t xml:space="preserve">Балл</t>
  </si>
  <si>
    <t xml:space="preserve">Аналоги (подробно)</t>
  </si>
  <si>
    <t xml:space="preserve">Что это</t>
  </si>
  <si>
    <t xml:space="preserve">Зачем</t>
  </si>
  <si>
    <t xml:space="preserve">Почему взлетит в России</t>
  </si>
  <si>
    <t xml:space="preserve">Конкуренты</t>
  </si>
  <si>
    <t xml:space="preserve">Как сделать</t>
  </si>
  <si>
    <t xml:space="preserve">Как зарабатывать</t>
  </si>
  <si>
    <t xml:space="preserve">Риски</t>
  </si>
  <si>
    <t xml:space="preserve">Ссылки</t>
  </si>
  <si>
    <t xml:space="preserve">NYT Games (Wordle, Connections, Strands, Spelling Bee)</t>
  </si>
  <si>
    <t xml:space="preserve">Каждый день выходят 4–5 коротких головоломок на 2–5 минут. Угадать слово из 5 букв. Разложить 16 слов на 4 скрытые группы («Связи»). Найти слова в сетке букв. Собрать как можно больше слов из 7 букв («Пчела»). Задания одинаковые для всех, поэтому результат можно сравнить с друзьями и поделиться им.</t>
  </si>
  <si>
    <t xml:space="preserve">Ежедневный ритуал на 5 минут, «зарядка для мозга» и повод для общения.</t>
  </si>
  <si>
    <t xml:space="preserve">Сильная культура кроссвордов и сканвордов. Спрос доказан: в «5 букв» Т-Банка за два года сыграли больше 7 млн человек и 131 млн партий (Т—Ж). Но там это функция внутри банка, а отдельного хаба нескольких ежедневных игр на русском нет. Механик вроде «Связей» по-русски почти никто не делает. Ядро аудитории Яндекс Игр (35–44 года) как раз любит словесные игры.</t>
  </si>
  <si>
    <t xml:space="preserve">«5 букв» Т-Банка, клоны Wordle, приложения со сканвордами. Хаба уровня NYT нет.</t>
  </si>
  <si>
    <t xml:space="preserve">PWA, версии для Яндекс Игр, VK Mini Apps и Max. Словари — OpenCorpora (открытая лицензия). Черновики «Связей» генерирует LLM, финальный вид — за человеком-редактором. Бэкенд элементарный: одна головоломка в день.</t>
  </si>
  <si>
    <t xml:space="preserve">Реклама в Яндекс Играх, премиум за 149 ₽ в месяц (архив, статистика, без рекламы). Главное — B2B: продавать white-label-виджет СМИ, банкам и ритейлерам ради ежедневных заходов, как сделал Т-Банк. Ради того же NYT купил Wordle.</t>
  </si>
  <si>
    <t xml:space="preserve">Клон можно сделать за неделю. Защищают качество редактуры, сообщество и B2B-контракты.</t>
  </si>
  <si>
    <t xml:space="preserve">https://t-j.ru/5bukv-game-stat/</t>
  </si>
  <si>
    <t xml:space="preserve">Игра запускается на телевизоре или ноутбуке, гости подключаются с телефонов по коду комнаты, ничего не устанавливая. Примеры: придумать смешной ответ на вопрос и выдать его за правду; нарисовать слово, чтобы другие угадали; угадать, кто из друзей что написал.</t>
  </si>
  <si>
    <t xml:space="preserve">Развлечение для вечеринок, семейных праздников, корпоративов и стримов.</t>
  </si>
  <si>
    <t xml:space="preserve">Игры Jackbox только на английском (Jackbox). При этом в России огромная культура квизов («Квиз, плиз!», «Мозгобойня»), корпоративов и новогодних застолий. Русский юмор не переводится, нужен свой контент.</t>
  </si>
  <si>
    <t xml:space="preserve">Прямых русскоязычных аналогов не нашёл. Kahoot- и AhaSlides-подобные сервисы — это викторины для презентаций, а не party-игры.</t>
  </si>
  <si>
    <t xml:space="preserve">Веб (Next.js) + WebSocket-сервер комнат. На Smart TV — через браузер. LLM генерирует черновики заданий, редакторы-юмористы их правят. Claude Code хорошо пишет такую real-time-логику.</t>
  </si>
  <si>
    <t xml:space="preserve">Паки игр по 299–699 ₽. Лицензия на корпоратив — 5–30 тыс. ₽ за мероприятие. Подписка для баров и квиз-ведущих.</t>
  </si>
  <si>
    <t xml:space="preserve">Всё решает качество юмора. Сильная сезонность с пиком в декабре.</t>
  </si>
  <si>
    <t xml:space="preserve">https://www.jackboxgames.com/how-to</t>
  </si>
  <si>
    <t xml:space="preserve">Infinite Craft (neal.fun)</t>
  </si>
  <si>
    <t xml:space="preserve">На старте есть 4 элемента: вода, огонь, земля, воздух. Соединяешь любые два, и нейросеть придумывает результат: огонь + вода = пар → … → «Кощей Бессмертный», «Пятиэтажка», «Ипотека». Комбинаций бесконечно много, а «первое в мире открытие» отмечается в игре.</t>
  </si>
  <si>
    <t xml:space="preserve">Залипательная песочница и вирусные ролики «как я скрафтил…».</t>
  </si>
  <si>
    <t xml:space="preserve">Русская культура даёт уникальные комбинации из мемов, сказок и советских реалий, а это готовые ролики для VK Клипов. Механика «Алхимии» без AI на Яндекс Играх давно популярна.</t>
  </si>
  <si>
    <t xml:space="preserve">Старые «Алхимии» и Doodle God без AI. Русского AI-аналога не нашёл.</t>
  </si>
  <si>
    <t xml:space="preserve">Каждая пара элементов генерируется один раз для всех игроков и кэшируется в базе, поэтому расходы на LLM со временем падают. Хватит самой дешёвой модели (≈0,065 ₽ за 1000 токенов). MVP — 1–3 недели.</t>
  </si>
  <si>
    <t xml:space="preserve">Реклама за вознаграждение, платные подсказки. Доход с игрока низкий, зато и себестоимость почти нулевая.</t>
  </si>
  <si>
    <t xml:space="preserve">Модерация: нейросеть может «скрафтить» запрещённое, поэтому нужны фильтр и стоп-лист. Хайп проходит быстро, нужны регулярные ивенты.</t>
  </si>
  <si>
    <t xml:space="preserve">—</t>
  </si>
  <si>
    <t xml:space="preserve">Показывают панораму улицы, нужно поставить точку на карте: чем ближе, тем больше очков. Режимы: «Вся Россия», «Мой город», «Дуэль с другом», «Города СССР».</t>
  </si>
  <si>
    <t xml:space="preserve">Игра, которая заодно учит знать свою страну. GeoGuessr используют даже на уроках географии (Naked Science).</t>
  </si>
  <si>
    <t xml:space="preserve">GeoGuessr построен на Google Street View, и оплатить его из РФ нельзя. Аналога на панорамах России не нашёл. Внутренний туризм растёт, у регионов есть бюджеты на продвижение, отсюда спонсорские «туры по региону».</t>
  </si>
  <si>
    <t xml:space="preserve">GeoGuessr (без оплаты из РФ) и мелкие клоны.</t>
  </si>
  <si>
    <t xml:space="preserve">Панорамы через API Яндекс Карт (нужна коммерческая лицензия) или открытые фото Mapillary. Веб-версия + Яндекс Игры.</t>
  </si>
  <si>
    <t xml:space="preserve">Реклама и премиум. B2B: школы, туристические ведомства регионов (спонсорские карты), бренды.</t>
  </si>
  <si>
    <t xml:space="preserve">Главный вопрос — лицензия на панорамы. Условия нужно проверить до старта.</t>
  </si>
  <si>
    <t xml:space="preserve">https://naked-science.ru/article/media/onlaine-game-geoguessr</t>
  </si>
  <si>
    <t xml:space="preserve">Homescapes, Merge Mansion, Travel Town</t>
  </si>
  <si>
    <t xml:space="preserve">Соединяешь одинаковые предметы (2 кирпича → стена, 2 куска обоев → рулон) и так ремонтируешь советскую квартиру или дачу: ковёр на стене, сервант с хрусталём, телевизор «Рубин». Сюжет держится на историях соседей по подъезду.</t>
  </si>
  <si>
    <t xml:space="preserve">Казуальная игра на 5–15 минут, которая зарабатывает на покупках внутри.</t>
  </si>
  <si>
    <t xml:space="preserve">Ядро аудитории Яндекс Игр (35–44 года) сильно ностальгирует по СССР. Merge и «ремонт» — одни из самых доходных жанров мобильных игр в мире. Homescapes сделала Playrix, основанная выходцами из России, но покупки из РФ там затруднены. Ностальгического сеттинга нет ни у кого.</t>
  </si>
  <si>
    <t xml:space="preserve">Жанр переполнен, но этот сеттинг свободен.</t>
  </si>
  <si>
    <t xml:space="preserve">Phaser, PixiJS или Cocos. Claude Code пишет логику, экономику и панель управления ивентами. Арт генерирует нейросеть (например, Kandinsky), а художник приводит его к единому стилю.</t>
  </si>
  <si>
    <t xml:space="preserve">Покупки в игре (Яндекс Игры принимают российские карты) и реклама за вознаграждение.</t>
  </si>
  <si>
    <t xml:space="preserve">Самая дорогая из игровых идей: нужны регулярные обновления контента и тонкий баланс экономики. Без удержания игроков денег не будет.</t>
  </si>
  <si>
    <t xml:space="preserve">Cal AI, одно из самых быстрорастущих приложений 2024–2025 годов</t>
  </si>
  <si>
    <t xml:space="preserve">Фотографируешь тарелку, приложение распознаёт блюдо и оценивает калории и БЖУ. Плюс дневник, цели и вес.</t>
  </si>
  <si>
    <t xml:space="preserve">Считать калории вручную долго и скучно, поэтому большинство бросает.</t>
  </si>
  <si>
    <t xml:space="preserve">ЗОЖ в тренде, аудитория FatSecret и YAZIO огромная, а Cal AI нельзя оплатить из РФ. Отличиться можно базой русской кухни и меню сетей (столовые, «Теремок», «Вкусно — и точка») и загрузкой чеков из доставок.</t>
  </si>
  <si>
    <t xml:space="preserve">Растут: в RuStore уже есть «Калорика AI», FoodWarz, «ЗОЖ» (RuStore), плюс FatSecret. Побеждать придётся качеством и маркетингом.</t>
  </si>
  <si>
    <t xml:space="preserve">React Native/Expo. Распознавание — open-source VLM (Qwen-VL) на своём GPU или российский API. База продуктов.</t>
  </si>
  <si>
    <t xml:space="preserve">Подписка 299–599 ₽ в месяц. Распознавание одного фото стоит копейки, максимум рубли.</t>
  </si>
  <si>
    <t xml:space="preserve">Точность по фото ограничена: масла и соусов не видно. Погрешность нужно честно показывать, медицинских советов не давать.</t>
  </si>
  <si>
    <t xml:space="preserve">https://www.rustore.ru/catalog/app/com.nutrisync.advanced</t>
  </si>
  <si>
    <t xml:space="preserve">Timeleft (275 городов в 62 странах)</t>
  </si>
  <si>
    <t xml:space="preserve">Проходишь психологический тест. В выбранный день алгоритм собирает в ресторане стол из 6 подходящих друг другу людей. Это не свидания, а знакомство с новыми друзьями (Tasting Table).</t>
  </si>
  <si>
    <t xml:space="preserve">В больших городах после 25–30 лет трудно заводить друзей, а переезжающих много.</t>
  </si>
  <si>
    <t xml:space="preserve">Timeleft в России не работает. Спрос на «знакомства для дружбы» показали Random Coffee-боты, а ресторанам выгодны гости в будни.</t>
  </si>
  <si>
    <t xml:space="preserve">Мелкие локальные форматы вроде тайных ужинов Stay Hungry (Афиша), чаты по интересам.</t>
  </si>
  <si>
    <t xml:space="preserve">Мини-приложение в Max/VK + веб, алгоритм подбора, оплата, кабинет ресторана. Для безопасности — верификация через Госуслуги, Сбер ID или T-ID.</t>
  </si>
  <si>
    <t xml:space="preserve">Подписка 990–1 990 ₽ в месяц или 590–990 ₽ за ужин, плюс бонусы от ресторанов.</t>
  </si>
  <si>
    <t xml:space="preserve">Безопасность офлайн-встреч. Запуск каждого города — ручная работа. Возможно, придётся соответствовать закону о платформенной экономике.</t>
  </si>
  <si>
    <t xml:space="preserve">https://www.tastingtable.com/1859085/dinner-parties-with-strangers-timeleft
https://daily.afisha.ru/archive/gorod/archive/behind-stay-hungry/</t>
  </si>
  <si>
    <t xml:space="preserve">StoryWorth, Remento, Storii</t>
  </si>
  <si>
    <t xml:space="preserve">Раз в неделю маме, папе или бабушке приходит вопрос: «Как вы познакомились с дедушкой?», «Каким был ваш первый рабочий день?». Отвечать можно голосом, сервис расшифрует запись и бережно отредактирует. Через год получается печатная книга с фотографиями (Storii).</t>
  </si>
  <si>
    <t xml:space="preserve">Сохранить истории семьи, пока это ещё возможно. Отличный подарок.</t>
  </si>
  <si>
    <t xml:space="preserve">Сильная культура семейной памяти, растёт интерес к родословной. Повод для покупки — юбилей, Новый год, 8 Марта. Сейчас есть только биографы на заказ за десятки и сотни тысяч рублей.</t>
  </si>
  <si>
    <t xml:space="preserve">Прямых русскоязычных нет.</t>
  </si>
  <si>
    <t xml:space="preserve">Вопросы через Max, SMS или звонок робота. Распознавание речи (GigaAM, SaluteSpeech). LLM редактирует текст литературно, но сохраняет голос автора. Вёрстка PDF, печать — у партнёра по фотокнигам.</t>
  </si>
  <si>
    <t xml:space="preserve">4 990–9 990 ₽ за год, включая одну книгу. Дополнительные экземпляры — 1 500–2 500 ₽. Высокий средний чек, пики продаж к праздникам.</t>
  </si>
  <si>
    <t xml:space="preserve">Персональные данные (нужны согласия), качество печати и доставка.</t>
  </si>
  <si>
    <t xml:space="preserve">https://storii.com/blog/storyworth</t>
  </si>
  <si>
    <t xml:space="preserve">Joy Calls, Meela, CallieCare (США)</t>
  </si>
  <si>
    <t xml:space="preserve">В условленное время AI-голос звонит пожилому человеку на обычный телефон, даже кнопочный. Разговаривает о жизни, напоминает о лекарствах, помнит прошлые беседы. Семье приходит короткий отчёт: «настроение хорошее, жаловалась на давление, просила позвонить внучке» (Joy Calls, Meela).</t>
  </si>
  <si>
    <t xml:space="preserve">Против одиночества пожилых и тревоги взрослых детей, которые живут далеко.</t>
  </si>
  <si>
    <t xml:space="preserve">Около 40 млн пенсионеров, а дети массово уезжают в крупные города. Плюс угроза мошенников: AI заметит фразу «мне звонили из банка» и предупредит семью (это связка с N01). Аналогов в России не нашёл.</t>
  </si>
  <si>
    <t xml:space="preserve">Прямых нет. Смежные — уведомления МТС семье о нежелательном звонке (Rozetked) и приложения-определители номера.</t>
  </si>
  <si>
    <t xml:space="preserve">Телефония (Voximplant, MTS Exolve), потоковое распознавание речи (T-one, SaluteSpeech), синтез (SpeechKit, Silero), LLM с памятью. Самое сложное — маленькая задержка и естественный голос.</t>
  </si>
  <si>
    <t xml:space="preserve">Семейная подписка 990–1 990 ₽ в месяц. B2B: частные пансионаты, соцслужбы, страховые. По моей оценке, 10-минутный звонок обходится примерно в 25–40 ₽ (телефония, распознавание, синтез, LLM).</t>
  </si>
  <si>
    <t xml:space="preserve">Данные о здоровье — особая категория персональных данных, нужно письменное согласие. Этика: продукт нужно подавать как дополнение к звонкам семьи, а не как замену.</t>
  </si>
  <si>
    <t xml:space="preserve">https://www.homecaremag.com/news/joy-calls-launches-ai-phone-companion-seniors
https://www.businesswire.com/news/home/20250911525548/en/Meela-Launches-Personalized-AI-Companion-to-Combat-Loneliness-Epidemic-Among-Seniors
https://rozetked.me/index.php/news/47910-analitika-bol-she-poloviny-rossiyan-ispol-zuyut-ii-servisy-cifrovoy-zaschity</t>
  </si>
  <si>
    <t xml:space="preserve">HelloChinese, SuperChinese + Praktika, Speak</t>
  </si>
  <si>
    <t xml:space="preserve">Приложение в духе Duolingo, но для китайского и для русскоязычных. Уроки HSK 1–4, тренажёр тонов с графиком высоты твоего голоса, разговорные сценки с AI («поторгуйся с поставщиком на выставке в Гуанчжоу»).</t>
  </si>
  <si>
    <t xml:space="preserve">Китайский стал рабочим языком бизнеса, логистики и туризма.</t>
  </si>
  <si>
    <t xml:space="preserve">Торговля с Китаем и поездки растут, китайский есть в ЕГЭ. Англоязычные приложения неудобны русскоязычным, а оплатить их сложно.</t>
  </si>
  <si>
    <t xml:space="preserve">Laoshi AI (около 195 тыс. учеников) (App Store), онлайн-школы, глобальные приложения.</t>
  </si>
  <si>
    <t xml:space="preserve">Expo. Распознавание китайской речи на open-source (FunASR, Whisper) плюс анализ высоты тона. Контент пишет LLM, проверяет носитель языка.</t>
  </si>
  <si>
    <t xml:space="preserve">Подписка 490–990 ₽ в месяц. B2B: компании, которые работают с Китаем.</t>
  </si>
  <si>
    <t xml:space="preserve">Без носителя-редактора качество контента не обеспечить. Нужно выделиться на фоне онлайн-школ.</t>
  </si>
  <si>
    <t xml:space="preserve">https://apps.apple.com/us/app/%D0%BA%D0%B8%D1%82%D0%B0%D0%B9%D1%81%D0%BA%D0%B8%D0%B9-%D1%8F%D0%B7%D1%8B%D0%BA-%D1%81-%D0%BB%D0%B0%D0%BE%D1%88%D0%B8/id1510215770?l=ru</t>
  </si>
  <si>
    <t xml:space="preserve">Yoodli, Google Interview Warmup</t>
  </si>
  <si>
    <t xml:space="preserve">AI голосом проводит собеседование под конкретную вакансию с hh.ru и задаёт уточняющие вопросы. Потом разбирает ответы: слова-паразиты, структура, темп, что улучшить. Режимы: собеседование, питч инвестору, разговор о повышении, защита диплома.</t>
  </si>
  <si>
    <t xml:space="preserve">Тренироваться на живых людях страшно и дорого, а без тренировки собеседования проваливают.</t>
  </si>
  <si>
    <t xml:space="preserve">Рынок труда активный, смена профессии — массовый сценарий, на нём держатся Яндекс Практикум, Skillbox и другие. Качественного русскоязычного тренажёра не нашёл, у hh.ru такой функции нет.</t>
  </si>
  <si>
    <t xml:space="preserve">Зарубежные сервисы на английском.</t>
  </si>
  <si>
    <t xml:space="preserve">Веб, голос (SpeechKit/SaluteSpeech), LLM с банком вопросов по профессиям, оценка по рубрике.</t>
  </si>
  <si>
    <t xml:space="preserve">490–990 ₽ в месяц. B2B: вузы, онлайн-школы (как модуль трудоустройства), HR-отделы для внутреннего найма.</t>
  </si>
  <si>
    <t xml:space="preserve">Нельзя превращать продукт в «подсказчик на реальном собеседовании».</t>
  </si>
  <si>
    <t xml:space="preserve">EssayGrader, Gauth/Photomath</t>
  </si>
  <si>
    <t xml:space="preserve">Школьник загружает фото или текст сочинения либо решения из второй части. Через 1–2 минуты получает оценку по критериям ФИПИ, разбор каждой ошибки и задание «исправь сам».</t>
  </si>
  <si>
    <t xml:space="preserve">Учитель или репетитор проверяет одно сочинение 20–25 минут и стоит дорого. Писать и исправлять нужно много раз.</t>
  </si>
  <si>
    <t xml:space="preserve">Итоговое сочинение и ЕГЭ по русскому пишет каждый 11-классник, ОГЭ сдаёт каждый 9-классник. Родители тратят на подготовку большие деньги.</t>
  </si>
  <si>
    <t xml:space="preserve">Рынок формируется, лидера нет. Есть aiПушкин от «ИнтернетУрока» и «Антиплагиата» (больше 9 тыс. проверок) (Yandex Cloud), онлайн-школы с живыми проверяющими, универсальные GigaChat и Алиса.</t>
  </si>
  <si>
    <t xml:space="preserve">Распознавание рукописи (VLM), LLM с жёсткой рубрикой и примерами оценённых работ, калибровка на банке реальных сочинений с экспертными оценками.</t>
  </si>
  <si>
    <t xml:space="preserve">99–199 ₽ за проверку или 790–1 490 ₽ в месяц в сезон подготовки. B2B: репетиторы и онлайн-школы (white-label API).</t>
  </si>
  <si>
    <t xml:space="preserve">Оценка может быть неточной, поэтому продукт нужно подавать как тренажёр, а не экзамен. Данные несовершеннолетних требуют согласия родителей.</t>
  </si>
  <si>
    <t xml:space="preserve">https://yandex.cloud/ru/cases/aipushkin</t>
  </si>
  <si>
    <t xml:space="preserve">MagicSchool AI, Brisk</t>
  </si>
  <si>
    <t xml:space="preserve">Учитель вводит «7 класс, тема "Пётр I"» и получает план урока по ФОП, рабочий лист трёх уровней сложности, тест и презентацию. Помощник проверяет диктанты по фото, пишет характеристики и отчёты.</t>
  </si>
  <si>
    <t xml:space="preserve">Учителя тонут в бумагах и подготовке.</t>
  </si>
  <si>
    <t xml:space="preserve">Около миллиона учителей, бумажная нагрузка огромная, методические ресурсы вроде «Инфоурока» используются массово.</t>
  </si>
  <si>
    <t xml:space="preserve">Универсальные нейросети (у Сбера есть отдельные сценарии GigaChat для учителей (Сбер)), конструкторы, «Инфоурок». Специализированного лидера нет, но рынок шумный.</t>
  </si>
  <si>
    <t xml:space="preserve">Фримиум 299–499 ₽ в месяц. B2B для школ и регионов, но там долгие продажи.</t>
  </si>
  <si>
    <t xml:space="preserve">Учителя мало платят. Государство может выпустить бесплатный аналог.</t>
  </si>
  <si>
    <t xml:space="preserve">https://developers.sber.ru/help/gigachat-api/ai-for-teachers</t>
  </si>
  <si>
    <t xml:space="preserve">TurboTenant, Avail, Landlord Studio</t>
  </si>
  <si>
    <t xml:space="preserve">Всё для сдачи квартиры в одном месте. Договор по шаблону для РФ. Акт приёма-передачи с фото. Напоминания и ссылки на оплату через СБП. Показания счётчиков и учёт ЖКУ. Чеки самозанятого (налог 4%). Проверка арендатора по открытым сервисам: недействительный паспорт, долги у ФССП. Расчёт залога при выезде.</t>
  </si>
  <si>
    <t xml:space="preserve">Сейчас всё это ведётся в переписке и тетрадке, а споры о залоге и счётчиках неизбежны.</t>
  </si>
  <si>
    <t xml:space="preserve">Квартиры массово сдают частники. Яндекс Аренда — дорогой управляемый формат с комиссией. Простого инструмента для частника почти нет.</t>
  </si>
  <si>
    <t xml:space="preserve">Мелкие приложения: ЧекаЧек (ориентирован в основном на Беларусь) (App Store), «Планировщик аренды».</t>
  </si>
  <si>
    <t xml:space="preserve">Веб + RuStore, генератор документов, интеграция с «Мой налог» через партнёрский API, СБП-ссылки.</t>
  </si>
  <si>
    <t xml:space="preserve">199–399 ₽ в месяц за объект, платная проверка арендатора, партнёрки (страхование квартиры, клининг, ремонт).</t>
  </si>
  <si>
    <t xml:space="preserve">Многие арендодатели не хотят «светиться». Продукт должен показывать, что легализоваться через налог самозанятого просто и дёшево.</t>
  </si>
  <si>
    <t xml:space="preserve">https://apps.apple.com/ru/app/id6471586789</t>
  </si>
  <si>
    <t xml:space="preserve">Описываешь проблему простыми словами: «продали бракованный телефон», «задержали рейс», «навязали страховку к кредиту», «пришло непонятное письмо из налоговой». Сервис объясняет, какие у тебя права. Составляет претензию или жалобу по закону и помогает отправить её заказным письмом онлайн. Следит за сроком ответа и подсказывает следующий шаг: Роспотребнадзор, ЦБ, суд. Отдельная функция — «проверь договор перед подписанием» с подсветкой ловушек.</t>
  </si>
  <si>
    <t xml:space="preserve">Закон на стороне потребителя, но им мало кто пользуется: «не знаю как» и «лень». Юрист стоит дорого.</t>
  </si>
  <si>
    <t xml:space="preserve">Сильный закон о защите прав потребителей, много поводов для претензий (маркетплейсы, авиа, банки, навязанные услуги), низкая юридическая грамотность.</t>
  </si>
  <si>
    <t xml:space="preserve">Площадки с живыми юристами (Правовед.ру (пример), 9111) и шаблоны в интернете. Массового AI-продукта не нашёл.</t>
  </si>
  <si>
    <t xml:space="preserve">Шаблоны, проверенные юристом, + LLM для заполнения и адаптации. База норм (ЗоЗПП, ГК, Воздушный кодекс). Трекер сроков. Сервис онлайн-отправки заказных писем.</t>
  </si>
  <si>
    <t xml:space="preserve">290–990 ₽ за документ, подписка, процент от возвращённых денег (например, при возврате навязанной страховки).</t>
  </si>
  <si>
    <t xml:space="preserve">Ответственность за ошибки, поэтому шаблоны вычитывает юрист. Нельзя обещать «AI-адвоката»: у DoNotPay за такие обещания были претензии от регулятора США (FTC).</t>
  </si>
  <si>
    <t xml:space="preserve">https://pravoved.ru/documents/new/claim/</t>
  </si>
  <si>
    <t xml:space="preserve">Upsolve (США, некоммерческий сервис самостоятельного банкротства)</t>
  </si>
  <si>
    <t xml:space="preserve">Человек с долгами отвечает на вопросы, и сервис говорит, подходит ли ему бесплатное внесудебное банкротство через МФЦ. Условия: долг от 25 тыс. до 1 млн ₽, оконченное исполнительное производство (разбор). Затем сервис собирает список кредиторов, заполняет заявление и ведёт по шагам. Если МФЦ не подходит, объясняет реструктуризацию и судебное банкротство и передаёт проверенному юристу.</t>
  </si>
  <si>
    <t xml:space="preserve">Процедура через МФЦ бесплатная, но люди не знают, подходят ли они, и боятся бумаг.</t>
  </si>
  <si>
    <t xml:space="preserve">Миллионы людей с просроченными долгами. Рынок «списания долгов» забит агрессивной рекламой юрфирм, которые часто берут от 100 тыс. ₽.</t>
  </si>
  <si>
    <t xml:space="preserve">Юрфирмы по банкротству, бесплатная информация на сайтах МФЦ и Федресурса.</t>
  </si>
  <si>
    <t xml:space="preserve">Фикс 1 990–4 990 ₽ за сопровождение, лиды юристам по судебным делам.</t>
  </si>
  <si>
    <t xml:space="preserve">Тема тяжёлая для репутации, у рекламы финансовых услуг есть ограничения, ошибка дорого стоит клиенту.</t>
  </si>
  <si>
    <t xml:space="preserve">https://vitvet.com/articles/bankrotstvo/vnesudebnoe_bankrotstvo_mfc/</t>
  </si>
  <si>
    <t xml:space="preserve">entitledto (Великобритания), benefits screeners (США)</t>
  </si>
  <si>
    <t xml:space="preserve">10–15 вопросов о семье, доходе и регионе. На выходе — все федеральные, региональные и муниципальные выплаты, льготы и налоговые вычеты, на которые человек имеет право, с суммами и пошаговой инструкцией. Плюс уведомления, когда правила меняются.</t>
  </si>
  <si>
    <t xml:space="preserve">Люди теряют деньги, потому что просто не знают о положенных выплатах.</t>
  </si>
  <si>
    <t xml:space="preserve">Мер поддержки сотни, у каждого региона свои. Появляются новые: например, с 2026 года действует семейная налоговая выплата для семей с двумя и более детьми (Финуслуги).</t>
  </si>
  <si>
    <t xml:space="preserve">Госуслуги («жизненные ситуации» и проактивные уведомления), банки. Полного навигатора с региональным уровнем не нашёл.</t>
  </si>
  <si>
    <t xml:space="preserve">Самое слабое место идеи. Фримиум + помощь в оформлении за 490–1 490 ₽, партнёрства с сервисами вычетов, B2B как льгота для сотрудников.</t>
  </si>
  <si>
    <t xml:space="preserve">Поддерживать актуальность по 89 регионам — дорогая постоянная работа.</t>
  </si>
  <si>
    <t xml:space="preserve">https://finuslugi.ru/navigator/kak-ehto-rabotaet/stat_semeynaya-nalogovaya-vyplata-v-2026-godu</t>
  </si>
  <si>
    <t xml:space="preserve">Wanderlog, Mindtrip, Layla</t>
  </si>
  <si>
    <t xml:space="preserve">Пишешь: «5 дней в Казани и Свияжске, с ребёнком 7 лет, бюджет 60 тыс.». Получаешь маршрут по дням с картой, временем в пути, ресторанами, ссылками на билеты и жильё, погодой и советами местных. Маршрут можно редактировать вместе с попутчиками и открыть без интернета.</t>
  </si>
  <si>
    <t xml:space="preserve">Планирование поездки отнимает вечера, а зарубежные планировщики плохо знают Россию.</t>
  </si>
  <si>
    <t xml:space="preserve">Внутренний туризм — основной вариант отдыха. Массового AI-планировщика по России в поиске не нашлось, есть только прототипы (Workspace).</t>
  </si>
  <si>
    <t xml:space="preserve">Яндекс Путешествия, Островок, Туту (бронирование), Tripster (экскурсии). AI-планировщиков у них нет, но крупные игроки могут их добавить.</t>
  </si>
  <si>
    <t xml:space="preserve">База мест (OpenStreetMap + лицензированные данные карт), LLM-планировщик с проверкой фактов по базе, совместное редактирование, офлайн-режим.</t>
  </si>
  <si>
    <t xml:space="preserve">Партнёрские комиссии от отелей, билетов и экскурсий (напрямую или через CPA-сети), премиум-офлайн, спонсорство регионов.</t>
  </si>
  <si>
    <t xml:space="preserve">Лицензии на данные карт. Галлюцинации нейросети придётся проверять по своей базе.</t>
  </si>
  <si>
    <t xml:space="preserve">https://workspace.ru/cases/puteshestviya-po-rossii-ot-neyroseti/</t>
  </si>
  <si>
    <t xml:space="preserve">Autio, GuideAlong (США)</t>
  </si>
  <si>
    <t xml:space="preserve">Едешь в поезде «Москва — Казань» или по трассе М-12, а приложение по GPS рассказывает о том, что сейчас за окном: город, река, история, легенды, «через 10 минут — мост через Волгу». Работает без интернета, контент скачивается заранее.</t>
  </si>
  <si>
    <t xml:space="preserve">Часы в дороге превращаются в увлекательную экскурсию.</t>
  </si>
  <si>
    <t xml:space="preserve">Огромные расстояния, многочасовые поездки на поездах (до Владивостока — неделя), на трассах часто нет связи. Таких продуктов для России не видел.</t>
  </si>
  <si>
    <t xml:space="preserve">Городские аудиогиды (например, izi.travel), но не «по маршруту за окном».</t>
  </si>
  <si>
    <t xml:space="preserve">Expo, офлайн-геотриггеры. Черновики текстов пишет LLM, их проверяют на факты и заранее озвучивают синтезом речи.</t>
  </si>
  <si>
    <t xml:space="preserve">199–499 ₽ за маршрут или подписка, партнёрства с перевозчиками и регионами.</t>
  </si>
  <si>
    <t xml:space="preserve">Нужно держать качество и достоверность контента. Человек пользуется продуктом редко.</t>
  </si>
  <si>
    <t xml:space="preserve">Пекарни, кофейни, кафе и магазины в конце дня продают «сюрприз-боксы» из непроданного за 30–40% от цены. Покупатель бронирует в приложении и забирает в указанное время.</t>
  </si>
  <si>
    <t xml:space="preserve">Покупателю — дешёвая еда, заведению — деньги вместо мусора.</t>
  </si>
  <si>
    <t xml:space="preserve">Люди чувствительны к ценам на продукты. Российские попытки (Doggy Bag, Catomka) так и остались маленькими (Т—Ж).</t>
  </si>
  <si>
    <t xml:space="preserve">Собственные уценки сетей и мелкие сервисы.</t>
  </si>
  <si>
    <t xml:space="preserve">Комиссия 20–30% с бокса + подписка для заведений.</t>
  </si>
  <si>
    <t xml:space="preserve">Заведения трудно подключать. Проверки Роспотребнадзора, низкий средний чек, закон о платформенной экономике.</t>
  </si>
  <si>
    <t xml:space="preserve">https://t-j.ru/smogut-li-prizhitsia-v-rossii-servisy-po-spaseniiu-edy/</t>
  </si>
  <si>
    <t xml:space="preserve">Фото листа → диагноз (болезнь или вредитель) и чем обработать. Календарь работ под твой регион и культуры. Предупреждение по прогнозу: «ночью −2°, укройте рассаду». Дневник урожая.</t>
  </si>
  <si>
    <t xml:space="preserve">Заморозки и болезни губят урожай, а советы на форумах противоречат друг другу.</t>
  </si>
  <si>
    <t xml:space="preserve">Десятки миллионов семей с дачами и огородами. Существующие приложения слабые: у одного из найденных рейтинг 1,8 (RuStore). Готового приложения с оповещениями о заморозках не нашёл.</t>
  </si>
  <si>
    <t xml:space="preserve">Несколько приложений в RuStore, лунные посевные календари.</t>
  </si>
  <si>
    <t xml:space="preserve">Фримиум, сезонная подписка 149–299 ₽ в месяц, партнёрки с магазинами семян и садовыми центрами.</t>
  </si>
  <si>
    <t xml:space="preserve">Сезонность. Аудитория 50+ неохотно платит за подписки.</t>
  </si>
  <si>
    <t xml:space="preserve">https://www.rustore.ru/catalog/app/ru.dacha.app</t>
  </si>
  <si>
    <t xml:space="preserve">Mealime / Eat This Much + Flipp</t>
  </si>
  <si>
    <t xml:space="preserve">Указываешь состав семьи, вкусы, бюджет и ближайшие магазины. Сервис собирает меню на неделю из того, что сейчас по акции, выдаёт список покупок и делает один заказ в доставку. Учитывает, что уже лежит в холодильнике (по чекам).</t>
  </si>
  <si>
    <t xml:space="preserve">Экономия денег и избавление от вопроса «что приготовить».</t>
  </si>
  <si>
    <t xml:space="preserve">Продукты дорожают. Агрегаторы акций вроде Едадила показывают скидки, но меню не строят (Т—Ж). Готовой связки «меню → акции → корзина» не нашёл.</t>
  </si>
  <si>
    <t xml:space="preserve">Едадил (акции), приложения с рецептами и планировщики меню по отдельности.</t>
  </si>
  <si>
    <t xml:space="preserve">Партнёрские комиссии доставок, премиум 199–299 ₽ в месяц.</t>
  </si>
  <si>
    <t xml:space="preserve">Доступ к ценам: парсинг сайтов сетей — серая зона, лучше договариваться о партнёрстве.</t>
  </si>
  <si>
    <t xml:space="preserve">https://t-j.ru/discount-aggregators/</t>
  </si>
  <si>
    <t xml:space="preserve">Goodcall, Slang.ai, Rosie</t>
  </si>
  <si>
    <t xml:space="preserve">AI круглосуточно отвечает на звонки салона, клиники или автосервиса. Записывает клиентов в YCLIENTS, Altegio или Dikidi, переносит записи, отвечает на вопросы о ценах, передаёт итог в CRM.</t>
  </si>
  <si>
    <t xml:space="preserve">Пропущенный звонок — это потерянный клиент, а администраторов не хватает и они дорожают.</t>
  </si>
  <si>
    <t xml:space="preserve">Сотни тысяч точек малого бизнеса работают по записи, кадровый дефицит.</t>
  </si>
  <si>
    <t xml:space="preserve">Голосовые роботы для крупных компаний (Twin, Neuro.net, Звонобот и др.). Готового «подключи салон за 15 минут» почти нет. Зарубежные аналоги интегрированы с Fresha и Vagaro, а не с YCLIENTS (Stork).</t>
  </si>
  <si>
    <t xml:space="preserve">Телефония, потоковое распознавание речи по телефонному каналу, низкая задержка, интеграции с CRM. Это самая технически сложная идея в списке.</t>
  </si>
  <si>
    <t xml:space="preserve">3–10 тыс. ₽ в месяц за точку.</t>
  </si>
  <si>
    <t xml:space="preserve">Качество распознавания и задержка. Нужно согласие на запись разговора. CRM-системы могут сделать такую функцию сами.</t>
  </si>
  <si>
    <t xml:space="preserve">https://www.stork.ai/collections/ru/ai-receptionists-salon</t>
  </si>
  <si>
    <t xml:space="preserve">Эксперт (нутрициолог, психолог, фитнес-тренер, бизнес-коуч) загружает свои курсы, эфиры и посты. Получает AI-копию, которая круглосуточно отвечает ученикам его словами и в его стиле в Max, VK или на сайте и продаёт консультации и курсы.</t>
  </si>
  <si>
    <t xml:space="preserve">Кураторов не хватает, ученики часами ждут ответа и бросают курс.</t>
  </si>
  <si>
    <t xml:space="preserve">Огромный рынок онлайн-школ и экспертов на GetCourse и аналогах. Эксперты охотно берут новые инструменты продаж.</t>
  </si>
  <si>
    <t xml:space="preserve">Конструкторы чат-ботов (Salebot, Aimylogic), AI-функции платформ курсов.</t>
  </si>
  <si>
    <t xml:space="preserve">RAG по контенту эксперта, боты в Max и VK, интеграция с платформами курсов, аналитика.</t>
  </si>
  <si>
    <t xml:space="preserve">SaaS 3–15 тыс. ₽ в месяц + процент с продаж.</t>
  </si>
  <si>
    <t xml:space="preserve">Маркировка AI-контента с 1 марта 2027 года. Ответственность за советы о здоровье и финансах. На клонирование голоса нужно согласие эксперта.</t>
  </si>
  <si>
    <t xml:space="preserve">Ставишь телефон рядом с гитарой или пианино и играешь упражнения и песни. Приложение слышит, правильно ли взята нота или аккорд, и подстраивает сложность (Лайфхакер о Yousician). Похоже на караоке-игру, только обучающую.</t>
  </si>
  <si>
    <t xml:space="preserve">Учиться самому без обратной связи трудно, а преподаватель дорогой.</t>
  </si>
  <si>
    <t xml:space="preserve">Гитара — массовое хобби. Yousician и Simply Piano работают, но оплатить их из РФ нельзя. Российского аналога с распознаванием звука не нашёл.</t>
  </si>
  <si>
    <t xml:space="preserve">Видеоуроки в VK и офлайн-школы.</t>
  </si>
  <si>
    <t xml:space="preserve">Самое сложное — распознавание нот и аккордов на дешёвых микрофонах (обработка сигнала + ML). Песни — авторские упражнения, общественное достояние и лицензии от правообладателей.</t>
  </si>
  <si>
    <t xml:space="preserve">Подписка 490–990 ₽ в месяц.</t>
  </si>
  <si>
    <t xml:space="preserve">Лицензии на популярные песни и техническая сложность распознавания.</t>
  </si>
  <si>
    <t xml:space="preserve">https://lifehacker.ru/yousician-guitar/</t>
  </si>
  <si>
    <t xml:space="preserve">Прямых аналогов нет</t>
  </si>
  <si>
    <t xml:space="preserve">Семья подключает пожилого родственника (заранее и с его согласия). Раз в 1–2 недели ему приходит безопасная учебная «атака»: звонок AI-голосом «из службы безопасности банка», «из полиции», «ваш сын попал в ДТП», «подтвердите код с Госуслуг». Если человек «попался», разговор мягко останавливается: «Это была тренировка от вашей дочери. Вот три признака, по которым можно было распознать обман». Семья видит прогресс, сценарии обновляются под новые схемы. Дополнительная функция: перешли подозрительное голосовое сообщение, и сервис оценит, не подделка ли это.</t>
  </si>
  <si>
    <t xml:space="preserve">Знание схем не спасает. Спасает навык положить трубку, когда на тебя давят, а его тренирует только практика.</t>
  </si>
  <si>
    <t xml:space="preserve">Проблема национального масштаба: по оценке Сбера, за 2025 год мошенники похитили не меньше 275 млрд ₽, МВД оценивает ущерб примерно в 200 млрд (Anti-Malware). Защищаться хотят все, особенно за родителей.</t>
  </si>
  <si>
    <t xml:space="preserve">Только пассивные решения: аудиотренажёр Билайна с записями настоящих звонков (новость), уведомления операторов. В мире ближе всего ScamDrill (Product Hunt), но там текстовые симуляции. Интерактивного голосового тренажёра для семей нет.</t>
  </si>
  <si>
    <t xml:space="preserve">Голосовой AI-движок (тот же, что в M09). Библиотека сценариев по актуальным схемам. Звонки внутри приложения или Max, чтобы не попадать под антифрод-фильтры операторов. Кабинет семьи.</t>
  </si>
  <si>
    <t xml:space="preserve">Семейная подписка 299–499 ₽ в месяц. B2B: банки (снижение потерь и репутация), работодатели (учения против «звонка от директора» с дипфейком голоса), страховые, региональная соцзащита.</t>
  </si>
  <si>
    <t xml:space="preserve">Только с согласия тренируемого. Никаких подменных номеров и реальных брендов: банки в сценариях вымышленные. Мягкий тон, чтобы не травмировать.</t>
  </si>
  <si>
    <t xml:space="preserve">https://www.anti-malware.ru/news/2026-01-29-121598/48865
https://www1.ru/news/2025/04/25/ne-brat-ty-mne-audiotrenazer-ot-bilain-pomozet-otlicit-mosennika-ot-blizkogo.amp.html
https://www.producthunt.com/posts/scamdrill</t>
  </si>
  <si>
    <t xml:space="preserve">Каждый месяц фотографируешь квитанцию. AI сверяет тарифы с официальными тарифами региона, проверяет начисления по счётчикам и нормативам, общедомовые нужды, пени и перерасчёты. Находит переплаты и сам готовит заявление в управляющую компанию или жалобу в жилинспекцию. Режим «весь дом»: соседи проверяют квитанции вместе и подают коллективную жалобу.</t>
  </si>
  <si>
    <t xml:space="preserve">Квитанции непонятны, ошибки и «лишние строки» встречаются часто, а вручную сверять тарифы почти никто не умеет (РГ).</t>
  </si>
  <si>
    <t xml:space="preserve">Квитанцию получает каждая семья, тарифы растут каждый год. ГИС ЖКХ показывает начисления, но не проверяет их.</t>
  </si>
  <si>
    <t xml:space="preserve">AI-аудитора квитанций не нашёл. ГИС ЖКХ и «Госуслуги Дом» аудит не делают.</t>
  </si>
  <si>
    <t xml:space="preserve">VLM распознаёт любые формы квитанций. База тарифов: начать с Москвы, Подмосковья и Петербурга. Правила расчёта (постановление Правительства № 354) запрограммировать как код, а не доверять LLM. Генератор документов.</t>
  </si>
  <si>
    <t xml:space="preserve">Бесплатная проверка + 199 ₽ за подробный разбор и документы. Процент от возвращённых денег. Подписка для советов домов и ТСЖ.</t>
  </si>
  <si>
    <t xml:space="preserve">Поддержка тарифов по регионам. Сопротивление управляющих компаний (зато это хороший повод для маркетинга).</t>
  </si>
  <si>
    <t xml:space="preserve">https://rg.ru/post/kak-proverit-nachisleniia-za-kommunalnye-uslugi-i-ne-pereplatit-za-zhkh.html</t>
  </si>
  <si>
    <t xml:space="preserve">Частичный аналог: проверка смет «Вс на стройку»</t>
  </si>
  <si>
    <t xml:space="preserve">Второй пилот ремонта на стороне заказчика:
• проверяет смету бригады по рыночным ценам региона («штукатурка завышена на 40%, грунтовка посчитана дважды»);
• составляет план и список материалов с ценами строительных магазинов;
• даёт чек-листы приёмки скрытых работ с фото, пока не закрыли стены;
• фиксирует дефекты и ведёт график оплат по этапам;
• готовит претензию застройщику по дефектам новостройки.</t>
  </si>
  <si>
    <t xml:space="preserve">Ремонт — это стресс, деньги и обман. Заказчик не разбирается в работах и ценах.</t>
  </si>
  <si>
    <t xml:space="preserve">Ремонт — национальная боль. Новостройки часто сдают без отделки или в white box, обман на сметах массовый.</t>
  </si>
  <si>
    <t xml:space="preserve">Только частичные решения: проверка смет у «Вс на стройку» (199 ₽ за подробный отчёт) (Spark), маркетплейсы мастеров (Профи, Remontnik), 3D-планировщики. Цельного «прораба в кармане» нет.</t>
  </si>
  <si>
    <t xml:space="preserve">Своя база цен на работы и материалы: LLM не знает цен этой недели, она только сопоставляет позиции. Распознавание смет (PDF, фото), фото-чек-листы, генератор документов.</t>
  </si>
  <si>
    <t xml:space="preserve">Проверка сметы за 199–990 ₽, подписка на время ремонта 990 ₽ в месяц, партнёрки магазинов материалов, лиды проверенным бригадам и специалистам по приёмке квартир.</t>
  </si>
  <si>
    <t xml:space="preserve">Актуальность цен. Ответственность за советы.</t>
  </si>
  <si>
    <t xml:space="preserve">https://spark.ru/startup/vs-na-strojku/blog/350477/sdelal-servis-kotorij-proveryaet-smeti-na-remont-za-pervuyu-nedelyu-nashli-pereplat-na-1-5-milliona-rublej</t>
  </si>
  <si>
    <t xml:space="preserve">В мире — только исследования (Werewolf Arena от Google)</t>
  </si>
  <si>
    <t xml:space="preserve">Онлайн-«Мафия», где недостающих игроков заменяют AI-персонажи со своими характерами: они блефуют, подозревают, защищаются. AI-ведущий озвучивает ночь и день. Режимы: «друзья + боты», «тренировка против AI», «AI-ведущий для офлайн-клуба».</t>
  </si>
  <si>
    <t xml:space="preserve">Главная проблема онлайн-«Мафии» — собрать 8–12 живых игроков одновременно. AI её снимает.</t>
  </si>
  <si>
    <t xml:space="preserve">«Мафия» в России — культурный феномен: клубы, турниры, телешоу.</t>
  </si>
  <si>
    <t xml:space="preserve">Обычные приложения и боты для «Мафии», без AI-игроков (пример исследования).</t>
  </si>
  <si>
    <t xml:space="preserve">Мини-приложение VK/Max + веб. Мультиагентная оркестрация LLM: у каждого AI-игрока своя роль, память и стиль. На дешёвых моделях партия стоит единицы рублей.</t>
  </si>
  <si>
    <t xml:space="preserve">Премиум-роли и скины, подписка, реклама.</t>
  </si>
  <si>
    <t xml:space="preserve">AI должен блефовать убедительно. Понадобится долгий тюнинг и балансировка.</t>
  </si>
  <si>
    <t xml:space="preserve">https://repo.ssau.ru/jspui/bitstream/123456789/31825/2/978-5-93424-903-9_2024_225-232.pdf</t>
  </si>
  <si>
    <t xml:space="preserve">В мире — инди-эксперименты (CASE ZERO в альфе)</t>
  </si>
  <si>
    <t xml:space="preserve">Каждый день новое дело: место преступления, улики, четыре подозреваемых. Ты допрашиваешь их текстом или голосом, AI-персонажи отвечают, путаются и скрывают. Предъявляешь обвинение, узнаёшь, прав ли ты, и сравниваешь результат с друзьями.</t>
  </si>
  <si>
    <t xml:space="preserve">Детектив, в котором ты сам ведёшь допрос, а не выбираешь из трёх готовых реплик.</t>
  </si>
  <si>
    <t xml:space="preserve">Детективы — один из самых популярных жанров книг и сериалов. Формат «одно дело в день» удерживает аудиторию. Есть только альфа-проекты энтузиастов (DTF).</t>
  </si>
  <si>
    <t xml:space="preserve">Главный приём — сгенерировать дело заранее как «истину» (кто, когда, где, мотив) и проверить солвером на непротиворечивость. LLM потом только отыгрывает роли в рамках этой истины и не может «сломать» сюжет.</t>
  </si>
  <si>
    <t xml:space="preserve">Реклама в Яндекс Играх, платные дела за 149–299 ₽, подписка.</t>
  </si>
  <si>
    <t xml:space="preserve">Логические дыры в делах, расходы на генерацию (их снижает кэширование).</t>
  </si>
  <si>
    <t xml:space="preserve">https://dtf.ru/indie/5178362-rezhim-zhivye-podozrevaemye-v-case-zero</t>
  </si>
  <si>
    <t xml:space="preserve">В мире есть только генераторы тостов</t>
  </si>
  <si>
    <t xml:space="preserve">Сервис готовит программу конкретного праздника: юбилей мамы, свадьба, выпускной. Гости заранее анонимно отвечают на 5 вопросов о виновнице торжества. Из ответов AI собирает викторину «Как хорошо вы знаете Галину?», тосты, конкурсы, плейлист и слайд-шоу из фото. В день праздника всё запускается на телевизоре, гости играют с телефонов. Детский режим — квест-поиск подарка по квартире с подсказками.</t>
  </si>
  <si>
    <t xml:space="preserve">Живой ведущий стоит десятки тысяч рублей, и на домашний праздник его никто не зовёт. А провести праздник интересно хочется.</t>
  </si>
  <si>
    <t xml:space="preserve">Традиция застолий и тамады, много юбилеев, свадеб и корпоративов.</t>
  </si>
  <si>
    <t xml:space="preserve">Генераторы тостов и живые ведущие. Готового «праздника под ключ» на AI не нашёл.</t>
  </si>
  <si>
    <t xml:space="preserve">Переиспользовать real-time-движок из M02. LLM генерирует программу из ответов гостей, есть режим экрана для ТВ.</t>
  </si>
  <si>
    <t xml:space="preserve">490–1 490 ₽ за праздник, подписка для ведущих и ивент-агентств.</t>
  </si>
  <si>
    <t xml:space="preserve">Сезонность. Сарафанное радио лучше запускать через ведущих и ивент-агентства.</t>
  </si>
  <si>
    <t xml:space="preserve">У врачей AI-ассистенты есть, у пациентов — нет</t>
  </si>
  <si>
    <t xml:space="preserve">Перед приёмом AI за 5 минут опрашивает пациента и делает одностраничную выписку для врача: жалобы, когда началось, какие лекарства принимает, какие анализы есть. На приёме, с согласия врача, записывает разговор. После приёма простыми словами объясняет, что сказал врач, напоминает о лекарствах и повторных анализах. Семейный режим — для пожилых родителей.</t>
  </si>
  <si>
    <t xml:space="preserve">Приём короткий, человек волнуется и забывает половину сказанного. Пожилым особенно тяжело.</t>
  </si>
  <si>
    <t xml:space="preserve">Короткие приёмы в поликлиниках, много пожилых пациентов, врачам удобна структурированная выписка.</t>
  </si>
  <si>
    <t xml:space="preserve">AI-ассистенты для врачей (на стороне клиник), медицинские сервисы. Пациентского «второго пилота» визита не нашёл.</t>
  </si>
  <si>
    <t xml:space="preserve">199–399 ₽ в месяц, семейный тариф. B2B — частные клиники.</t>
  </si>
  <si>
    <t xml:space="preserve">Высокие. Данные о здоровье — особая категория. Есть граница с медицинским изделием: никаких диагнозов. Нужно согласие на запись.</t>
  </si>
  <si>
    <t xml:space="preserve">Есть только универсальные суммаризаторы</t>
  </si>
  <si>
    <t xml:space="preserve">Бот, которого добавляют в чат класса или дома в Max. Раз в день он присылает выжимку: что решили, что купить, кто что должен и до какого срока. Ведёт голосования и учёт сборов («скинулись 21 из 28, вот список»), напоминает о делах. В домовых чатах собирает заявки в УК и совместные заказы мастера на весь подъезд.</t>
  </si>
  <si>
    <t xml:space="preserve">В чате 300 сообщений в день, а важное теряется.</t>
  </si>
  <si>
    <t xml:space="preserve">Родительский чат — мем и боль одновременно. Школьные чаты переводят в Max, так что аудитория собирается в одном месте.</t>
  </si>
  <si>
    <t xml:space="preserve">Универсальные AI-боты. Продукта под сценарии родкомитета и дома не нашёл.</t>
  </si>
  <si>
    <t xml:space="preserve">Фримиум, 99–199 ₽ в месяц за чат (платит родкомитет), комиссия с совместных заказов.</t>
  </si>
  <si>
    <t xml:space="preserve">Зависимость от правил платформы Max. Конфиденциальность переписки.</t>
  </si>
  <si>
    <t xml:space="preserve">Есть только классические агентства</t>
  </si>
  <si>
    <t xml:space="preserve">AI-голос звонит и пишет в компанию под видом клиента по сценарию: «хочу записаться на маникюр завтра», «сколько стоит замена ремня ГРМ». Проверяет, как отвечают сотрудники: скорость, вежливость, следование скрипту, предлагают ли допродажу. Присылает оценку и записи. Тот же механизм позволяет следить за публичными ценами и сроками конкурентов.</t>
  </si>
  <si>
    <t xml:space="preserve">Сетям и франшизам нужно контролировать десятки точек, а агентства тайных покупателей дорогие и медленные.</t>
  </si>
  <si>
    <t xml:space="preserve">Много франшиз в услугах и общепите, дефицит и текучка персонала, качество сервиса нестабильно.</t>
  </si>
  <si>
    <t xml:space="preserve">Классические агентства и речевая аналитика для крупных колл-центров. AI-формата для малого и среднего бизнеса не видел.</t>
  </si>
  <si>
    <t xml:space="preserve">5–30 тыс. ₽ в месяц за точку или пакет проверок.</t>
  </si>
  <si>
    <t xml:space="preserve">Исходящие звонки подпадают под правила маркировки звонков. Проверять конкурентов этично только по публичной информации.</t>
  </si>
  <si>
    <t xml:space="preserve">Веса итогового балла и шкалы оценок</t>
  </si>
  <si>
    <t xml:space="preserve">Меняйте жёлтые ячейки (синий шрифт) — балл и место на листе «Сводная» пересчитаются. Значения по умолчанию подобраны под небольшую команду с ограниченным бюджетом.</t>
  </si>
  <si>
    <t xml:space="preserve">Критерий</t>
  </si>
  <si>
    <t xml:space="preserve">Что оценивает</t>
  </si>
  <si>
    <t xml:space="preserve">Вес (ввод)</t>
  </si>
  <si>
    <t xml:space="preserve">Доля в балле</t>
  </si>
  <si>
    <t xml:space="preserve">Прибыльность</t>
  </si>
  <si>
    <t xml:space="preserve">Потенциальная выручка через ~2 года при успехе</t>
  </si>
  <si>
    <t xml:space="preserve">Популярность</t>
  </si>
  <si>
    <t xml:space="preserve">Потенциальный охват пользователей</t>
  </si>
  <si>
    <t xml:space="preserve">Свобода от конкуренции</t>
  </si>
  <si>
    <t xml:space="preserve">Насколько ниша в РФ ещё не занята</t>
  </si>
  <si>
    <t xml:space="preserve">Простота</t>
  </si>
  <si>
    <t xml:space="preserve">Обратная величина сложности реализации</t>
  </si>
  <si>
    <t xml:space="preserve">Дешевизна</t>
  </si>
  <si>
    <t xml:space="preserve">Обратная величина стоимости MVP</t>
  </si>
  <si>
    <t xml:space="preserve">Регуляторная безопасность</t>
  </si>
  <si>
    <t xml:space="preserve">Обратная величина регуляторного риска</t>
  </si>
  <si>
    <t xml:space="preserve">Итого</t>
  </si>
  <si>
    <t xml:space="preserve">Перевод текстовых оценок в доли (0–1)</t>
  </si>
  <si>
    <t xml:space="preserve">Свобода (0–1)</t>
  </si>
  <si>
    <t xml:space="preserve">Высокая</t>
  </si>
  <si>
    <t xml:space="preserve">Безопасность (0–1)</t>
  </si>
  <si>
    <t xml:space="preserve">Формула балла</t>
  </si>
  <si>
    <t xml:space="preserve">Балл = ОКРУГЛ(100 × (Вес прибыльности × Прибыльность/5 + Вес популярности × Популярность/5 + Вес конкуренции × Свобода + Вес простоты × (6 − Сложность)/5 + Вес дешевизны × (4 − Уровень стоимости)/3 + Вес безопасности × Безопасность) / Сумма весов). Место — по убыванию балла, при равенстве — по ID.</t>
  </si>
  <si>
    <t xml:space="preserve">Шкалы оценок</t>
  </si>
  <si>
    <t xml:space="preserve">Шкала</t>
  </si>
  <si>
    <t xml:space="preserve">Значения</t>
  </si>
  <si>
    <t xml:space="preserve">1 — MVP за 1–3 недели одним разработчиком с Claude Code; 2 — 1–2 месяца; 3 — 2–4 месяца, нужны голос/данные/интеграции; 4 — 4–6+ месяцев, сложная технология; 5 — больше 8 месяцев</t>
  </si>
  <si>
    <t xml:space="preserve">Стоимость MVP (уровень 1–4)</t>
  </si>
  <si>
    <t xml:space="preserve">1 — до ~300 тыс. ₽; 2 — ~0,3–1 млн ₽; 3 — ~1–3 млн ₽; 4 — больше 3 млн ₽ (деньги до запуска MVP без маркетинга, если код пишет основатель с Claude Code)</t>
  </si>
  <si>
    <t xml:space="preserve">Выручка в месяц через ~2 года при успехе: 1 — до 0,5 млн ₽; 2 — 0,5–2 млн; 3 — 2–10 млн; 4 — 10–50 млн; 5 — больше 50 млн</t>
  </si>
  <si>
    <t xml:space="preserve">Потенциальный охват: 1 — до 50 тыс. пользователей; 2 — до 300 тыс.; 3 — до 1–2 млн; 4 — до 5–10 млн; 5 — больше 10 млн (для B2B — доля охваченного рынка)</t>
  </si>
  <si>
    <t xml:space="preserve">Нет / Низкая / Средняя / Высокая — насколько ниша в РФ уже занята</t>
  </si>
  <si>
    <t xml:space="preserve">Низкий / Средний / Высокий — регуляторные и правовые риски в РФ</t>
  </si>
  <si>
    <t xml:space="preserve">Методология и ограничения</t>
  </si>
  <si>
    <t xml:space="preserve">• Как искали. По каждой идее проверял в октябре 2026 года, есть ли российские аналоги: веб-поиск, RuStore, App Store, отраслевые СМИ. Если пишу «аналогов не нашёл», это значит, что поиск их не выявил. Маленькие проекты могли остаться незамеченными. Перед стартом стоит потратить час на собственную проверку.</t>
  </si>
  <si>
    <t xml:space="preserve">• Оценки экспертные, а не прогноз. Прибыльность — это потенциал при успешном исполнении, а не гарантия. Большинство стартапов не доходят до таких цифр.</t>
  </si>
  <si>
    <t xml:space="preserve">• Стоимость MVP считалась так: основатель сам пишет код с Claude Code. Если нанимать разработчика, добавьте его зарплату. Маркетинг не учтён, и именно он обычно становится главной статьёй расходов после запуска.</t>
  </si>
  <si>
    <t xml:space="preserve">• Данные о рынке (блокировки, законы, цены моделей) меняются быстро. Это срез на 20.10.2026, а часть сведений взята из отраслевых блогов, поэтому ключевые факты нужно перепроверять по первоисточникам.</t>
  </si>
  <si>
    <t xml:space="preserve">• Исходные данные лежат в data/ideas.json, формула — в scripts/score.py.</t>
  </si>
  <si>
    <t xml:space="preserve">Кластер</t>
  </si>
  <si>
    <t xml:space="preserve">Продукты (→ — порядок запуска)</t>
  </si>
  <si>
    <t xml:space="preserve">Кто платит</t>
  </si>
  <si>
    <t xml:space="preserve">Почему вместе</t>
  </si>
  <si>
    <t xml:space="preserve">Рекомендация</t>
  </si>
  <si>
    <t xml:space="preserve">«Забота о родителях»</t>
  </si>
  <si>
    <t xml:space="preserve">N01 Прививка от мошенников → M09 Собеседник → M08 Семейная книга → N07 Второй пилот пациента</t>
  </si>
  <si>
    <t xml:space="preserve">Взрослые дети 30–55 лет</t>
  </si>
  <si>
    <t xml:space="preserve">Один покупатель, одна семейная подписка. Один голосовой AI-движок: звонки, распознавание, память. Есть B2B: банки, работодатели, пансионаты, соцзащита</t>
  </si>
  <si>
    <t xml:space="preserve">Рекомендуем начать с него</t>
  </si>
  <si>
    <t xml:space="preserve">«Защитник потребителя»</t>
  </si>
  <si>
    <t xml:space="preserve">M15 Юрист-автомат + N02 ЖКХ-аудитор + N03 AI-прораб + M16 Помощник должника</t>
  </si>
  <si>
    <t xml:space="preserve">Массовый потребитель</t>
  </si>
  <si>
    <t xml:space="preserve">Один движок: «шаблон, проверенный юристом, + LLM + отслеживание сроков». Оплата за результат</t>
  </si>
  <si>
    <t xml:space="preserve">«Праздники и компании»</t>
  </si>
  <si>
    <t xml:space="preserve">M02 Party-игры + N06 AI-тамада + N04 Мафия с AI</t>
  </si>
  <si>
    <t xml:space="preserve">Компании друзей, семьи, корпоративы</t>
  </si>
  <si>
    <t xml:space="preserve">Один real-time-движок «экран + телефоны», общий контент, пик продаж в декабре</t>
  </si>
  <si>
    <t xml:space="preserve">«Экзамены и карьера»</t>
  </si>
  <si>
    <t xml:space="preserve">M12 Проверка ЕГЭ/ОГЭ + M11 Тренер собеседований + M10 Китайский</t>
  </si>
  <si>
    <t xml:space="preserve">Родители школьников, студенты</t>
  </si>
  <si>
    <t xml:space="preserve">Один движок «оценка по рубрике + разбор ошибок». Продажи через онлайн-школы</t>
  </si>
  <si>
    <t xml:space="preserve">Ниша (мировой аналог)</t>
  </si>
  <si>
    <t xml:space="preserve">Кто уже работает в России</t>
  </si>
  <si>
    <t xml:space="preserve">Вывод</t>
  </si>
  <si>
    <t xml:space="preserve">Доступ к ChatGPT и Midjourney (агрегаторы нейросетей)</t>
  </si>
  <si>
    <t xml:space="preserve">Десятки ботов и сайтов-агрегаторов</t>
  </si>
  <si>
    <t xml:space="preserve">Перегрето, демпинг, риски с оплатой зарубежных API</t>
  </si>
  <si>
    <t xml:space="preserve">Notion, Miro, Slack, Figma</t>
  </si>
  <si>
    <t xml:space="preserve">Yonote, Weeek, Kaiten, Пачка, Pixso и др.</t>
  </si>
  <si>
    <t xml:space="preserve">Замены появились ещё в 2022–2024 годах</t>
  </si>
  <si>
    <t xml:space="preserve">Loom (видеосообщения)</t>
  </si>
  <si>
    <t xml:space="preserve">Скрини, Глабикс.Экран, TeamStream от МТС бесплатно (a2is, iPhones.ru)</t>
  </si>
  <si>
    <t xml:space="preserve">Бесплатный конкурент от крупного игрока</t>
  </si>
  <si>
    <t xml:space="preserve">https://a2is.ru/catalog/messendzhery-dlya-komandnoy-raboty/skrini
https://www.iphones.ru/iNotes/mts-web-services-otkryla-besplatnyy-dostup-k-servisu-dlya-obmena-asinhronnymi-video</t>
  </si>
  <si>
    <t xml:space="preserve">Opus Clip (нарезка шортсов)</t>
  </si>
  <si>
    <t xml:space="preserve">MnogoReels, ClipCut, Reels Boss (Sostav)</t>
  </si>
  <si>
    <t xml:space="preserve">Уже несколько русскоязычных сервисов</t>
  </si>
  <si>
    <t xml:space="preserve">https://www.sostav.ru/blogs/290467/88610</t>
  </si>
  <si>
    <t xml:space="preserve">AI-сказки для детей</t>
  </si>
  <si>
    <t xml:space="preserve">MySkazka, Kitsy</t>
  </si>
  <si>
    <t xml:space="preserve">Ниша занята, дифференцироваться трудно</t>
  </si>
  <si>
    <t xml:space="preserve">Свадебные сайты-приглашения</t>
  </si>
  <si>
    <t xml:space="preserve">Больше 12 конструкторов (vc.ru)</t>
  </si>
  <si>
    <t xml:space="preserve">Высокая конкуренция</t>
  </si>
  <si>
    <t xml:space="preserve">https://vc.ru/services/3041069-konstruktor-saytov-svadb-privlecheniy</t>
  </si>
  <si>
    <t xml:space="preserve">Rover (выгул и передержка собак)</t>
  </si>
  <si>
    <t xml:space="preserve">Догси, Профи.ру, Авито</t>
  </si>
  <si>
    <t xml:space="preserve">Маркетплейс уже есть, рынок узкий</t>
  </si>
  <si>
    <t xml:space="preserve">Whering (цифровой гардероб)</t>
  </si>
  <si>
    <t xml:space="preserve">КОМОД (RuStore)</t>
  </si>
  <si>
    <t xml:space="preserve">Есть игрок, слабая монетизация</t>
  </si>
  <si>
    <t xml:space="preserve">https://www.rustore.ru/catalog/app/ru.komod.app</t>
  </si>
  <si>
    <t xml:space="preserve">OurFamilyWizard (для разведённых родителей)</t>
  </si>
  <si>
    <t xml:space="preserve">«Опора» (RuStore)</t>
  </si>
  <si>
    <t xml:space="preserve">Есть игрок, маленькая платящая аудитория</t>
  </si>
  <si>
    <t xml:space="preserve">https://www.rustore.ru/catalog/app/click.opora.app</t>
  </si>
  <si>
    <t xml:space="preserve">Linktree, Teachable, Fiverr, Airbnb</t>
  </si>
  <si>
    <t xml:space="preserve">Taplink, GetCourse, Kwork, Суточно.ру, Островок</t>
  </si>
  <si>
    <t xml:space="preserve">Давно заняты сильными локальными игроками</t>
  </si>
  <si>
    <t xml:space="preserve">Сервисы для селлеров WB и Ozon</t>
  </si>
  <si>
    <t xml:space="preserve">MPStats и десятки других</t>
  </si>
  <si>
    <t xml:space="preserve">Перенасыщено</t>
  </si>
  <si>
    <t xml:space="preserve">Идея</t>
  </si>
  <si>
    <t xml:space="preserve">Комментарий</t>
  </si>
  <si>
    <t xml:space="preserve">Профориентация с AI-симуляцией профессий</t>
  </si>
  <si>
    <t xml:space="preserve">Подросток «проживает день» хирурга, программиста или пилота. Минус: конкуренция с госпрограммами вроде «Билета в будущее».</t>
  </si>
  <si>
    <t xml:space="preserve">Детектор голосовых дипфейков для семей</t>
  </si>
  <si>
    <t xml:space="preserve">Лучше сделать функцией внутри N01, а не отдельным продуктом.</t>
  </si>
  <si>
    <t xml:space="preserve">Трекер детского сна с прогнозом «окна сна» (аналог Huckleberry)</t>
  </si>
  <si>
    <t xml:space="preserve">Ниша интересная, но спрос не проверял.</t>
  </si>
  <si>
    <t xml:space="preserve">Простой планшет-лаунчер для бабушки с удалённым управлением детьми (аналог GrandPad)</t>
  </si>
  <si>
    <t xml:space="preserve">Сильная синергия с M09 и N01, но нужно «железо».</t>
  </si>
  <si>
    <t xml:space="preserve">Ещё несколько идей</t>
  </si>
  <si>
    <t xml:space="preserve">Поиск соседа по квартире (SpareRoom), рейтинг ресторанов среди друзей (Beli), цифровое наследство (GoodTrust), визовый помощник для россиян (Atlys; риски с ботами записи), «позвоню в поддержку за вас» (Pine AI).</t>
  </si>
  <si>
    <t xml:space="preserve">Тема</t>
  </si>
  <si>
    <t xml:space="preserve">Суть</t>
  </si>
  <si>
    <t xml:space="preserve">Каналы распространения поменялись</t>
  </si>
  <si>
    <t xml:space="preserve">Telegram ограничивают с 10 февраля 2026 года. По ряду оценок, к июню доступ почти полностью заблокирован, хотя, по словам Павла Дурова, им ежедневно продолжают пользоваться 65 млн россиян (Битрикс24, vc.ru). Строить на нём основной канал рискованно. ФАС не штрафует за рекламу в Telegram и YouTube только до конца 2026 года.</t>
  </si>
  <si>
    <t xml:space="preserve">https://www.bitrix24.ru/journal/blokirovka-telegram/
https://vc.ru/telegram/2974687-blokirovka-telegram-i-ischeznoveniye-max</t>
  </si>
  <si>
    <t xml:space="preserve">WhatsApp под угрозой полной блокировки до конца 2026 года (ppc.world).</t>
  </si>
  <si>
    <t xml:space="preserve">https://ppc.world/news/whatsapp-otklyuchat-v-2026-godu-telegram-trogat-ne-budut-deputat-gosdumy/</t>
  </si>
  <si>
    <t xml:space="preserve">Max (VK) предустанавливается на смартфоны. С весны 2026 года в нём есть раздел «MAX для бизнеса» с мини-приложениями и оплатой внутри, верификация компаний идёт через Госуслуги (Sostav, Т-Бизнес). Бренды там пока почти не конкурируют. Минус: по данным vc.ru, 4 июня 2026 года Max пропал из App Store. Школьные чаты переводят в Max (Медуза).</t>
  </si>
  <si>
    <t xml:space="preserve">https://www.sostav.ru/blogs/292093/95285
https://secrets.tbank.ru/tehnologii/max-dlya-biznesa/
https://meduza.io/news/2025/07/27/kommersant-soobschil-chto-shkolnye-chaty-v-shesti-regionah-rossii-perevedut-v-messendzher-max-v-tatarstane-perehod-podtverdili</t>
  </si>
  <si>
    <t xml:space="preserve">Яндекс Игры: по данным самой платформы, около 45 млн игроков в месяц (WN Hub). Есть встроенная реклама и покупки внутри игры за российские карты. Крупнейшая возрастная группа — 35–44 года (Яндекс). Это готовый канал для всех игр из списка.</t>
  </si>
  <si>
    <t xml:space="preserve">https://wnhub.io/ru/news/monetization/item-47819
https://yandex.ru/project/games/for-developers</t>
  </si>
  <si>
    <t xml:space="preserve">VK (мини-приложения, VK Play, VK Видео), RuStore (предустановлен на Android) и веб/PWA. Веб-версия обязательна, потому что iOS-аудиторию в РФ трудно монетизировать через App Store.</t>
  </si>
  <si>
    <t xml:space="preserve">Платежи</t>
  </si>
  <si>
    <t xml:space="preserve">App Store и Google Play не принимают российские карты (vc.ru). Подписки и разовые платежи принимают через ЮKassa, CloudPayments, Т-Банк, Robokassa, СБП (в том числе рекуррентные), биллинг Яндекс Игр и RuStore. Попутно это значит, что многие западные приложения работают в России, но денег с россиян получить не могут. Это «дыра», которую закрывают локальные аналоги.</t>
  </si>
  <si>
    <t xml:space="preserve">https://vc.ru/services/3012698-sposoby-oplaty-podpiski-duolingo-iz-rossii</t>
  </si>
  <si>
    <t xml:space="preserve">AI внутри продукта — российский или open-source</t>
  </si>
  <si>
    <t xml:space="preserve">Claude Code — инструмент разработчика. Модели, которые отвечают пользователям уже внутри продукта, должны работать в России. Причин три: персональные данные россиян по 152-ФЗ нужно хранить в РФ, крупные зарубежные провайдеры моделей официально не обслуживают Россию, а оплатить их из РФ нельзя. Варианты:</t>
  </si>
  <si>
    <t xml:space="preserve">GigaChat API (Сбер): Lite ≈ 0,065 ₽, Pro ≈ 0,50 ₽ за 1000 токенов. YandexGPT: Lite ≈ 0,20 ₽, Pro 5.1 ≈ 0,80 ₽. Цены на август 2026 (3DNews, AdIndex).</t>
  </si>
  <si>
    <t xml:space="preserve">https://3dnews.ru/1147409
https://adindex.ru/news/digital/2026/08/25/348304.phtml</t>
  </si>
  <si>
    <t xml:space="preserve">Open-source модели на GPU в российских облаках (Yandex Cloud, Selectel, Cloud.ru, VK Cloud): Qwen и DeepSeek для текста и зрения, GigaAM и T-one для распознавания русской речи, Silero для синтеза, Kandinsky для картинок.</t>
  </si>
  <si>
    <t xml:space="preserve">Голос и телефония: SaluteSpeech, Yandex SpeechKit, Voximplant, MTS Exolve.</t>
  </si>
  <si>
    <t xml:space="preserve">Законы, которые стоит учитывать</t>
  </si>
  <si>
    <t xml:space="preserve">Закон об ИИ (243-ФЗ от 26.07.2026). Основная часть действует с 1 сентября 2026 года. Требования к маркировке AI-контента и к крупным моделям вступят в силу с 1 марта 2027 года. Площадки с аудиторией больше 500 тыс. в сутки должны дать техническую возможность предупреждать об AI-контенте. Подробности будут в подзаконных актах (разбор, Новая газета Европа).</t>
  </si>
  <si>
    <t xml:space="preserve">https://pravo163.ru/zakon-ob-iskusstvennom-intellekte/
https://novayagazeta.eu/articles/2026/07/09/gosduma-priniala-pervyi-v-rossii-zakon-reguliruiushchii-rabotu-ii</t>
  </si>
  <si>
    <t xml:space="preserve">Персональные данные (152-ФЗ): хранение в РФ, уведомление Роскомнадзора, согласия. Штрафы за утечки с 2025 года многократно выросли, вплоть до оборотных. Данные о здоровье — особая категория, на них нужно письменное согласие.</t>
  </si>
  <si>
    <t xml:space="preserve">Закон о платформенной экономике (289-ФЗ) действует с 1 октября 2026 года. Он вводит реестр посреднических платформ и обязанности операторов (ППТ.ру). Это касается маркетплейс-идей: M07, M20.</t>
  </si>
  <si>
    <t xml:space="preserve">https://ppt.ru/obzory/vstupaet-v-silu/federalnyy-zakon-31-07-2025-289-fz</t>
  </si>
  <si>
    <t xml:space="preserve">Антифрод-закон (41-ФЗ) действует с 1 июня 2025 года. Банки, операторы связи, маркетплейсы, госорганы и крупные сервисы не могут общаться с клиентами через иностранные мессенджеры. Звонки организаций маркируются (ППТ.ру, Гарант). Это важно для голосовых идей: M09, M23, N01, N09.</t>
  </si>
  <si>
    <t xml:space="preserve">https://ppt.ru/amp/obzory/vstupaet-v-silu/federalnyy-zakon-01-04-2025-41-fz
https://www.garant.ru/news/1820251/</t>
  </si>
  <si>
    <t xml:space="preserve">Реклама: маркировка (ERID), обязательная возрастная маркировка контента (436-ФЗ). Законопроект о видеоиграх № 795581-8 с идентификацией игроков по состоянию на 2026 год не принят, но за ним стоит следить (ППТ.ру).</t>
  </si>
  <si>
    <t xml:space="preserve">https://ppt.ru/news/identifikatsiya-klientov/vvedut-markirovku-i-identifikatsiyu-igrokov-v-videoigrakh</t>
  </si>
  <si>
    <t xml:space="preserve">Группа</t>
  </si>
  <si>
    <t xml:space="preserve">Источник</t>
  </si>
  <si>
    <t xml:space="preserve">Ссылка</t>
  </si>
  <si>
    <t xml:space="preserve">Рынок и правила игры</t>
  </si>
  <si>
    <t xml:space="preserve">Битрикс24 — Telegram в 2026</t>
  </si>
  <si>
    <t xml:space="preserve">vc.ru — июнь 2026: Telegram, MAX, ФАС</t>
  </si>
  <si>
    <t xml:space="preserve">ppc.world — WhatsApp</t>
  </si>
  <si>
    <t xml:space="preserve">Sostav — MAX для бизнеса</t>
  </si>
  <si>
    <t xml:space="preserve">Т-Бизнес — MAX для бизнеса</t>
  </si>
  <si>
    <t xml:space="preserve">Медуза — школьные чаты в Max</t>
  </si>
  <si>
    <t xml:space="preserve">WN Hub — Яндекс Игры, 45 млн игроков</t>
  </si>
  <si>
    <t xml:space="preserve">Яндекс Игры для разработчиков</t>
  </si>
  <si>
    <t xml:space="preserve">ComNews — выручка игровой отрасли 2025</t>
  </si>
  <si>
    <t xml:space="preserve">ППТ.ру — законопроект о видеоиграх</t>
  </si>
  <si>
    <t xml:space="preserve">Разбор закона об ИИ 243-ФЗ</t>
  </si>
  <si>
    <t xml:space="preserve">Новая газета Европа — закон об ИИ</t>
  </si>
  <si>
    <t xml:space="preserve">ППТ.ру — 289-ФЗ о платформенной экономике</t>
  </si>
  <si>
    <t xml:space="preserve">ППТ.ру — 41-ФЗ</t>
  </si>
  <si>
    <t xml:space="preserve">Гарант — 41-ФЗ</t>
  </si>
  <si>
    <t xml:space="preserve">3DNews — цены на модели, август 2026</t>
  </si>
  <si>
    <t xml:space="preserve">AdIndex — цены на модели</t>
  </si>
  <si>
    <t xml:space="preserve">Тарифы GigaChat API</t>
  </si>
  <si>
    <t xml:space="preserve">vc.ru — оплата Duolingo из РФ</t>
  </si>
  <si>
    <t xml:space="preserve">Anti-Malware — ущерб от мошенников за 2025</t>
  </si>
  <si>
    <t xml:space="preserve">Продукты и конкуренты</t>
  </si>
  <si>
    <t xml:space="preserve">Т—Ж — статистика «5 букв»</t>
  </si>
  <si>
    <t xml:space="preserve">Jackbox — как играть</t>
  </si>
  <si>
    <t xml:space="preserve">Naked Science — GeoGuessr</t>
  </si>
  <si>
    <t xml:space="preserve">RuStore — Калорика AI</t>
  </si>
  <si>
    <t xml:space="preserve">RuStore — FoodWarz</t>
  </si>
  <si>
    <t xml:space="preserve">Tasting Table — Timeleft</t>
  </si>
  <si>
    <t xml:space="preserve">Афиша — Stay Hungry</t>
  </si>
  <si>
    <t xml:space="preserve">Storii — о StoryWorth</t>
  </si>
  <si>
    <t xml:space="preserve">Joy Calls</t>
  </si>
  <si>
    <t xml:space="preserve">Meela</t>
  </si>
  <si>
    <t xml:space="preserve">Rozetked — МТС и уведомления семье</t>
  </si>
  <si>
    <t xml:space="preserve">App Store — Laoshi AI</t>
  </si>
  <si>
    <t xml:space="preserve">Yandex Cloud — кейс aiПушкин</t>
  </si>
  <si>
    <t xml:space="preserve">Сбер — GigaChat для учителей</t>
  </si>
  <si>
    <t xml:space="preserve">App Store — ЧекаЧек</t>
  </si>
  <si>
    <t xml:space="preserve">Правовед — претензии</t>
  </si>
  <si>
    <t xml:space="preserve">Внесудебное банкротство через МФЦ</t>
  </si>
  <si>
    <t xml:space="preserve">Финуслуги — семейная выплата 2026</t>
  </si>
  <si>
    <t xml:space="preserve">Workspace — прототип AI-планировщика по России</t>
  </si>
  <si>
    <t xml:space="preserve">Т—Ж — сервисы спасения еды в РФ</t>
  </si>
  <si>
    <t xml:space="preserve">RuStore — «Дача Без Проблем»</t>
  </si>
  <si>
    <t xml:space="preserve">Т—Ж — агрегаторы скидок</t>
  </si>
  <si>
    <t xml:space="preserve">Stork — AI-администраторы для салонов</t>
  </si>
  <si>
    <t xml:space="preserve">Лайфхакер — Yousician</t>
  </si>
  <si>
    <t xml:space="preserve">Билайн — аудиотренажёр</t>
  </si>
  <si>
    <t xml:space="preserve">Product Hunt — ScamDrill</t>
  </si>
  <si>
    <t xml:space="preserve">РГ — как проверить начисления ЖКХ</t>
  </si>
  <si>
    <t xml:space="preserve">Spark — «Вс на стройку»</t>
  </si>
  <si>
    <t xml:space="preserve">DTF — CASE ZERO</t>
  </si>
  <si>
    <t xml:space="preserve">Sostav — сервисы нарезки шортсов</t>
  </si>
  <si>
    <t xml:space="preserve">a2is — Скрини</t>
  </si>
  <si>
    <t xml:space="preserve">iPhones.ru — TeamStream МТС</t>
  </si>
  <si>
    <t xml:space="preserve">vc.ru — конструкторы свадебных сайтов</t>
  </si>
  <si>
    <t xml:space="preserve">RuStore — КОМОД</t>
  </si>
  <si>
    <t xml:space="preserve">RuStore — Опора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</si>
</sst>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sz val="8"/>
      <color rgb="FF555555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6B62"/>
        <bgColor rgb="FF1B743B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4"/>
      </left>
      <right style="thin">
        <color rgb="FFD0D7D4"/>
      </right>
      <top style="thin">
        <color rgb="FFD0D7D4"/>
      </top>
      <bottom style="thin">
        <color rgb="FFD0D7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1">
    <dxf>
      <fill>
        <patternFill patternType="solid">
          <fgColor rgb="FF0B6B6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EEA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BC282"/>
          <bgColor rgb="FF000000"/>
        </patternFill>
      </fill>
    </dxf>
    <dxf>
      <fill>
        <patternFill patternType="solid">
          <fgColor rgb="FF72C588"/>
          <bgColor rgb="FF000000"/>
        </patternFill>
      </fill>
    </dxf>
    <dxf>
      <fill>
        <patternFill patternType="solid">
          <fgColor rgb="FF81CB95"/>
          <bgColor rgb="FF000000"/>
        </patternFill>
      </fill>
    </dxf>
    <dxf>
      <fill>
        <patternFill patternType="solid">
          <fgColor rgb="FF89CE9B"/>
          <bgColor rgb="FF000000"/>
        </patternFill>
      </fill>
    </dxf>
    <dxf>
      <fill>
        <patternFill patternType="solid">
          <fgColor rgb="FF90D1A1"/>
          <bgColor rgb="FF000000"/>
        </patternFill>
      </fill>
    </dxf>
    <dxf>
      <fill>
        <patternFill patternType="solid">
          <fgColor rgb="FF97D4A7"/>
          <bgColor rgb="FF000000"/>
        </patternFill>
      </fill>
    </dxf>
    <dxf>
      <fill>
        <patternFill patternType="solid">
          <fgColor rgb="FF9FD7AE"/>
          <bgColor rgb="FF000000"/>
        </patternFill>
      </fill>
    </dxf>
    <dxf>
      <fill>
        <patternFill patternType="solid">
          <fgColor rgb="FFA6DAB4"/>
          <bgColor rgb="FF000000"/>
        </patternFill>
      </fill>
    </dxf>
    <dxf>
      <fill>
        <patternFill patternType="solid">
          <fgColor rgb="FFAEDDBA"/>
          <bgColor rgb="FF000000"/>
        </patternFill>
      </fill>
    </dxf>
    <dxf>
      <fill>
        <patternFill patternType="solid">
          <fgColor rgb="FFB5E1C1"/>
          <bgColor rgb="FF000000"/>
        </patternFill>
      </fill>
    </dxf>
    <dxf>
      <fill>
        <patternFill patternType="solid">
          <fgColor rgb="FFBDE4C7"/>
          <bgColor rgb="FF000000"/>
        </patternFill>
      </fill>
    </dxf>
    <dxf>
      <fill>
        <patternFill patternType="solid">
          <fgColor rgb="FFC4E7CD"/>
          <bgColor rgb="FF000000"/>
        </patternFill>
      </fill>
    </dxf>
    <dxf>
      <fill>
        <patternFill patternType="solid">
          <fgColor rgb="FFCBEAD3"/>
          <bgColor rgb="FF000000"/>
        </patternFill>
      </fill>
    </dxf>
    <dxf>
      <fill>
        <patternFill patternType="solid">
          <fgColor rgb="FFDAF0E0"/>
          <bgColor rgb="FF000000"/>
        </patternFill>
      </fill>
    </dxf>
    <dxf>
      <fill>
        <patternFill patternType="solid">
          <fgColor rgb="FFF1F9F3"/>
          <bgColor rgb="FF000000"/>
        </patternFill>
      </fill>
    </dxf>
    <dxf>
      <fill>
        <patternFill patternType="solid">
          <fgColor rgb="FFFABE90"/>
          <bgColor rgb="FF000000"/>
        </patternFill>
      </fill>
    </dxf>
    <dxf>
      <fill>
        <patternFill patternType="solid">
          <fgColor rgb="FFFCD4B5"/>
          <bgColor rgb="FF000000"/>
        </patternFill>
      </fill>
    </dxf>
    <dxf>
      <fill>
        <patternFill patternType="solid">
          <fgColor rgb="FFFEEADA"/>
          <bgColor rgb="FF000000"/>
        </patternFill>
      </fill>
    </dxf>
    <dxf>
      <fill>
        <patternFill patternType="solid">
          <fgColor rgb="FFFBC59D"/>
          <bgColor rgb="FF000000"/>
        </patternFill>
      </fill>
    </dxf>
    <dxf>
      <fill>
        <patternFill patternType="solid">
          <fgColor rgb="FFFDE2CE"/>
          <bgColor rgb="FF000000"/>
        </patternFill>
      </fill>
    </dxf>
    <dxf>
      <fill>
        <patternFill patternType="solid">
          <fgColor rgb="FF8ACF9C"/>
          <bgColor rgb="FF000000"/>
        </patternFill>
      </fill>
    </dxf>
    <dxf>
      <fill>
        <patternFill patternType="solid">
          <fgColor rgb="FFB1DFBD"/>
          <bgColor rgb="FF000000"/>
        </patternFill>
      </fill>
    </dxf>
    <dxf>
      <fill>
        <patternFill patternType="solid">
          <fgColor rgb="FFD8EFDE"/>
          <bgColor rgb="FF000000"/>
        </patternFill>
      </fill>
    </dxf>
    <dxf>
      <fill>
        <patternFill patternType="solid">
          <fgColor rgb="FFE0F1E5"/>
          <bgColor rgb="FF000000"/>
        </patternFill>
      </fill>
    </dxf>
    <dxf>
      <fill>
        <patternFill patternType="solid">
          <fgColor rgb="FFF7ECD2"/>
          <bgColor rgb="FF000000"/>
        </patternFill>
      </fill>
    </dxf>
    <dxf>
      <fill>
        <patternFill patternType="solid">
          <fgColor rgb="FF1B743B"/>
          <bgColor rgb="FF000000"/>
        </patternFill>
      </fill>
    </dxf>
    <dxf>
      <fill>
        <patternFill patternType="solid">
          <fgColor rgb="FF8A5800"/>
          <bgColor rgb="FF000000"/>
        </patternFill>
      </fill>
    </dxf>
    <dxf>
      <fill>
        <patternFill patternType="solid">
          <fgColor rgb="FFFAE3E0"/>
          <bgColor rgb="FF000000"/>
        </patternFill>
      </fill>
    </dxf>
    <dxf>
      <fill>
        <patternFill patternType="solid">
          <fgColor rgb="FFAD241C"/>
          <bgColor rgb="FF000000"/>
        </patternFill>
      </fill>
    </dxf>
    <dxf>
      <font>
        <name val="Arial"/>
        <charset val="1"/>
        <family val="0"/>
        <b val="1"/>
        <color rgb="FF1B743B"/>
        <sz val="10"/>
      </font>
      <fill>
        <patternFill>
          <bgColor rgb="FFE0F1E5"/>
        </patternFill>
      </fill>
    </dxf>
    <dxf>
      <font>
        <name val="Arial"/>
        <charset val="1"/>
        <family val="0"/>
        <b val="1"/>
        <color rgb="FF8A5800"/>
        <sz val="10"/>
      </font>
      <fill>
        <patternFill>
          <bgColor rgb="FFF7ECD2"/>
        </patternFill>
      </fill>
    </dxf>
    <dxf>
      <font>
        <name val="Arial"/>
        <charset val="1"/>
        <family val="0"/>
        <b val="1"/>
        <color rgb="FFAD241C"/>
        <sz val="10"/>
      </font>
      <fill>
        <patternFill>
          <bgColor rgb="FFFAE3E0"/>
        </patternFill>
      </fill>
    </dxf>
    <dxf>
      <font>
        <name val="Arial"/>
        <charset val="1"/>
        <family val="0"/>
        <b val="1"/>
        <color rgb="FF0B6B62"/>
        <sz val="10"/>
      </font>
      <fill>
        <patternFill>
          <bgColor rgb="FFD9EEEA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55555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800"/>
      <rgbColor rgb="FF800080"/>
      <rgbColor rgb="FF0B6B62"/>
      <rgbColor rgb="FFC0C0C0"/>
      <rgbColor rgb="FF808080"/>
      <rgbColor rgb="FF9999FF"/>
      <rgbColor rgb="FF993366"/>
      <rgbColor rgb="FFF7ECD2"/>
      <rgbColor rgb="FFD9EEEA"/>
      <rgbColor rgb="FF660066"/>
      <rgbColor rgb="FFFF8080"/>
      <rgbColor rgb="FF0563C1"/>
      <rgbColor rgb="FFD0D7D4"/>
      <rgbColor rgb="FF000080"/>
      <rgbColor rgb="FFFF00FF"/>
      <rgbColor rgb="FFFFFF00"/>
      <rgbColor rgb="FF00FFFF"/>
      <rgbColor rgb="FF800080"/>
      <rgbColor rgb="FF800000"/>
      <rgbColor rgb="FF1B743B"/>
      <rgbColor rgb="FF0000FF"/>
      <rgbColor rgb="FF00CCFF"/>
      <rgbColor rgb="FFCCFFFF"/>
      <rgbColor rgb="FFE0F1E5"/>
      <rgbColor rgb="FFFFFF99"/>
      <rgbColor rgb="FF99CCFF"/>
      <rgbColor rgb="FFFF99CC"/>
      <rgbColor rgb="FFCC99FF"/>
      <rgbColor rgb="FFFAE3E0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AD24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4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28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3" min="12" style="0" width="15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34"/>
    <col collapsed="false" customWidth="true" hidden="false" outlineLevel="0" max="17" min="17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42" hidden="false" customHeight="true" outlineLevel="0" collapsed="false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</row>
    <row r="5" customFormat="false" ht="29.25" hidden="false" customHeight="true" outlineLevel="0" collapsed="false">
      <c r="A5" s="4" t="n">
        <f aca="false">RANK(E5,$E$5:$E$38,0)+COUNTIFS($E$5:$E$38,E5,$B$5:$B$38,"&lt;"&amp;B5)</f>
        <v>1</v>
      </c>
      <c r="B5" s="5" t="s">
        <v>20</v>
      </c>
      <c r="C5" s="6" t="s">
        <v>21</v>
      </c>
      <c r="D5" s="7" t="s">
        <v>22</v>
      </c>
      <c r="E5" s="8" t="n">
        <f aca="false">IF(SUM('Веса и шкалы'!$C$6:$C$11)=0,0,ROUND(100*('Веса и шкалы'!$C$6*L5/5+'Веса и шкалы'!$C$7*M5/5+'Веса и шкалы'!$C$8*INDEX('Веса и шкалы'!$B$16:$B$19,MATCH(N5,'Веса и шкалы'!$A$16:$A$19,0))+'Веса и шкалы'!$C$9*(6-H5)/5+'Веса и шкалы'!$C$10*(4-I5)/3+'Веса и шкалы'!$C$11*INDEX('Веса и шкалы'!$B$23:$B$25,MATCH(O5,'Веса и шкалы'!$A$23:$A$25,0)))/SUM('Веса и шкалы'!$C$6:$C$11),0))</f>
        <v>78</v>
      </c>
      <c r="F5" s="9" t="s">
        <v>23</v>
      </c>
      <c r="G5" s="9" t="s">
        <v>24</v>
      </c>
      <c r="H5" s="10" t="n">
        <v>3</v>
      </c>
      <c r="I5" s="10" t="n">
        <v>2</v>
      </c>
      <c r="J5" s="5" t="str">
        <f aca="false">CHOOSE(I5,"до 0,3 млн ₽","0,3–1 млн ₽","1–3 млн ₽","3+ млн ₽")</f>
        <v>0,3–1 млн ₽</v>
      </c>
      <c r="K5" s="5" t="s">
        <v>25</v>
      </c>
      <c r="L5" s="10" t="n">
        <v>4</v>
      </c>
      <c r="M5" s="10" t="n">
        <v>4</v>
      </c>
      <c r="N5" s="10" t="s">
        <v>26</v>
      </c>
      <c r="O5" s="10" t="s">
        <v>27</v>
      </c>
      <c r="P5" s="9" t="s">
        <v>28</v>
      </c>
      <c r="Q5" s="9" t="s">
        <v>29</v>
      </c>
    </row>
    <row r="6" customFormat="false" ht="29.25" hidden="false" customHeight="true" outlineLevel="0" collapsed="false">
      <c r="A6" s="4" t="n">
        <f aca="false">RANK(E6,$E$5:$E$38,0)+COUNTIFS($E$5:$E$38,E6,$B$5:$B$38,"&lt;"&amp;B6)</f>
        <v>2</v>
      </c>
      <c r="B6" s="5" t="s">
        <v>30</v>
      </c>
      <c r="C6" s="6" t="s">
        <v>31</v>
      </c>
      <c r="D6" s="7" t="s">
        <v>22</v>
      </c>
      <c r="E6" s="8" t="n">
        <f aca="false">IF(SUM('Веса и шкалы'!$C$6:$C$11)=0,0,ROUND(100*('Веса и шкалы'!$C$6*L6/5+'Веса и шкалы'!$C$7*M6/5+'Веса и шкалы'!$C$8*INDEX('Веса и шкалы'!$B$16:$B$19,MATCH(N6,'Веса и шкалы'!$A$16:$A$19,0))+'Веса и шкалы'!$C$9*(6-H6)/5+'Веса и шкалы'!$C$10*(4-I6)/3+'Веса и шкалы'!$C$11*INDEX('Веса и шкалы'!$B$23:$B$25,MATCH(O6,'Веса и шкалы'!$A$23:$A$25,0)))/SUM('Веса и шкалы'!$C$6:$C$11),0))</f>
        <v>77</v>
      </c>
      <c r="F6" s="9" t="s">
        <v>32</v>
      </c>
      <c r="G6" s="9" t="s">
        <v>33</v>
      </c>
      <c r="H6" s="10" t="n">
        <v>3</v>
      </c>
      <c r="I6" s="10" t="n">
        <v>2</v>
      </c>
      <c r="J6" s="5" t="str">
        <f aca="false">CHOOSE(I6,"до 0,3 млн ₽","0,3–1 млн ₽","1–3 млн ₽","3+ млн ₽")</f>
        <v>0,3–1 млн ₽</v>
      </c>
      <c r="K6" s="5" t="s">
        <v>25</v>
      </c>
      <c r="L6" s="10" t="n">
        <v>3</v>
      </c>
      <c r="M6" s="10" t="n">
        <v>4</v>
      </c>
      <c r="N6" s="10" t="s">
        <v>26</v>
      </c>
      <c r="O6" s="10" t="s">
        <v>34</v>
      </c>
      <c r="P6" s="9" t="s">
        <v>35</v>
      </c>
      <c r="Q6" s="9" t="s">
        <v>36</v>
      </c>
    </row>
    <row r="7" customFormat="false" ht="29.25" hidden="false" customHeight="true" outlineLevel="0" collapsed="false">
      <c r="A7" s="4" t="n">
        <f aca="false">RANK(E7,$E$5:$E$38,0)+COUNTIFS($E$5:$E$38,E7,$B$5:$B$38,"&lt;"&amp;B7)</f>
        <v>3</v>
      </c>
      <c r="B7" s="5" t="s">
        <v>37</v>
      </c>
      <c r="C7" s="6" t="s">
        <v>38</v>
      </c>
      <c r="D7" s="7" t="s">
        <v>39</v>
      </c>
      <c r="E7" s="8" t="n">
        <f aca="false">IF(SUM('Веса и шкалы'!$C$6:$C$11)=0,0,ROUND(100*('Веса и шкалы'!$C$6*L7/5+'Веса и шкалы'!$C$7*M7/5+'Веса и шкалы'!$C$8*INDEX('Веса и шкалы'!$B$16:$B$19,MATCH(N7,'Веса и шкалы'!$A$16:$A$19,0))+'Веса и шкалы'!$C$9*(6-H7)/5+'Веса и шкалы'!$C$10*(4-I7)/3+'Веса и шкалы'!$C$11*INDEX('Веса и шкалы'!$B$23:$B$25,MATCH(O7,'Веса и шкалы'!$A$23:$A$25,0)))/SUM('Веса и шкалы'!$C$6:$C$11),0))</f>
        <v>76</v>
      </c>
      <c r="F7" s="9" t="s">
        <v>40</v>
      </c>
      <c r="G7" s="9" t="s">
        <v>41</v>
      </c>
      <c r="H7" s="10" t="n">
        <v>1</v>
      </c>
      <c r="I7" s="10" t="n">
        <v>1</v>
      </c>
      <c r="J7" s="5" t="str">
        <f aca="false">CHOOSE(I7,"до 0,3 млн ₽","0,3–1 млн ₽","1–3 млн ₽","3+ млн ₽")</f>
        <v>до 0,3 млн ₽</v>
      </c>
      <c r="K7" s="5" t="s">
        <v>42</v>
      </c>
      <c r="L7" s="10" t="n">
        <v>3</v>
      </c>
      <c r="M7" s="10" t="n">
        <v>4</v>
      </c>
      <c r="N7" s="10" t="s">
        <v>43</v>
      </c>
      <c r="O7" s="10" t="s">
        <v>34</v>
      </c>
      <c r="P7" s="9" t="s">
        <v>44</v>
      </c>
      <c r="Q7" s="9" t="s">
        <v>45</v>
      </c>
    </row>
    <row r="8" customFormat="false" ht="29.25" hidden="false" customHeight="true" outlineLevel="0" collapsed="false">
      <c r="A8" s="4" t="n">
        <f aca="false">RANK(E8,$E$5:$E$38,0)+COUNTIFS($E$5:$E$38,E8,$B$5:$B$38,"&lt;"&amp;B8)</f>
        <v>4</v>
      </c>
      <c r="B8" s="5" t="s">
        <v>46</v>
      </c>
      <c r="C8" s="6" t="s">
        <v>47</v>
      </c>
      <c r="D8" s="7" t="s">
        <v>39</v>
      </c>
      <c r="E8" s="8" t="n">
        <f aca="false">IF(SUM('Веса и шкалы'!$C$6:$C$11)=0,0,ROUND(100*('Веса и шкалы'!$C$6*L8/5+'Веса и шкалы'!$C$7*M8/5+'Веса и шкалы'!$C$8*INDEX('Веса и шкалы'!$B$16:$B$19,MATCH(N8,'Веса и шкалы'!$A$16:$A$19,0))+'Веса и шкалы'!$C$9*(6-H8)/5+'Веса и шкалы'!$C$10*(4-I8)/3+'Веса и шкалы'!$C$11*INDEX('Веса и шкалы'!$B$23:$B$25,MATCH(O8,'Веса и шкалы'!$A$23:$A$25,0)))/SUM('Веса и шкалы'!$C$6:$C$11),0))</f>
        <v>76</v>
      </c>
      <c r="F8" s="9" t="s">
        <v>32</v>
      </c>
      <c r="G8" s="9" t="s">
        <v>48</v>
      </c>
      <c r="H8" s="10" t="n">
        <v>2</v>
      </c>
      <c r="I8" s="10" t="n">
        <v>2</v>
      </c>
      <c r="J8" s="5" t="str">
        <f aca="false">CHOOSE(I8,"до 0,3 млн ₽","0,3–1 млн ₽","1–3 млн ₽","3+ млн ₽")</f>
        <v>0,3–1 млн ₽</v>
      </c>
      <c r="K8" s="5" t="s">
        <v>49</v>
      </c>
      <c r="L8" s="10" t="n">
        <v>4</v>
      </c>
      <c r="M8" s="10" t="n">
        <v>4</v>
      </c>
      <c r="N8" s="10" t="s">
        <v>50</v>
      </c>
      <c r="O8" s="10" t="s">
        <v>27</v>
      </c>
      <c r="P8" s="9" t="s">
        <v>51</v>
      </c>
      <c r="Q8" s="9" t="s">
        <v>52</v>
      </c>
    </row>
    <row r="9" customFormat="false" ht="29.25" hidden="false" customHeight="true" outlineLevel="0" collapsed="false">
      <c r="A9" s="4" t="n">
        <f aca="false">RANK(E9,$E$5:$E$38,0)+COUNTIFS($E$5:$E$38,E9,$B$5:$B$38,"&lt;"&amp;B9)</f>
        <v>5</v>
      </c>
      <c r="B9" s="5" t="s">
        <v>53</v>
      </c>
      <c r="C9" s="6" t="s">
        <v>54</v>
      </c>
      <c r="D9" s="7" t="s">
        <v>22</v>
      </c>
      <c r="E9" s="8" t="n">
        <f aca="false">IF(SUM('Веса и шкалы'!$C$6:$C$11)=0,0,ROUND(100*('Веса и шкалы'!$C$6*L9/5+'Веса и шкалы'!$C$7*M9/5+'Веса и шкалы'!$C$8*INDEX('Веса и шкалы'!$B$16:$B$19,MATCH(N9,'Веса и шкалы'!$A$16:$A$19,0))+'Веса и шкалы'!$C$9*(6-H9)/5+'Веса и шкалы'!$C$10*(4-I9)/3+'Веса и шкалы'!$C$11*INDEX('Веса и шкалы'!$B$23:$B$25,MATCH(O9,'Веса и шкалы'!$A$23:$A$25,0)))/SUM('Веса и шкалы'!$C$6:$C$11),0))</f>
        <v>74</v>
      </c>
      <c r="F9" s="9" t="s">
        <v>55</v>
      </c>
      <c r="G9" s="9" t="s">
        <v>56</v>
      </c>
      <c r="H9" s="10" t="n">
        <v>2</v>
      </c>
      <c r="I9" s="10" t="n">
        <v>1</v>
      </c>
      <c r="J9" s="5" t="str">
        <f aca="false">CHOOSE(I9,"до 0,3 млн ₽","0,3–1 млн ₽","1–3 млн ₽","3+ млн ₽")</f>
        <v>до 0,3 млн ₽</v>
      </c>
      <c r="K9" s="5" t="s">
        <v>57</v>
      </c>
      <c r="L9" s="10" t="n">
        <v>3</v>
      </c>
      <c r="M9" s="10" t="n">
        <v>3</v>
      </c>
      <c r="N9" s="10" t="s">
        <v>50</v>
      </c>
      <c r="O9" s="10" t="s">
        <v>34</v>
      </c>
      <c r="P9" s="9" t="s">
        <v>58</v>
      </c>
      <c r="Q9" s="9" t="s">
        <v>52</v>
      </c>
    </row>
    <row r="10" customFormat="false" ht="29.25" hidden="false" customHeight="true" outlineLevel="0" collapsed="false">
      <c r="A10" s="4" t="n">
        <f aca="false">RANK(E10,$E$5:$E$38,0)+COUNTIFS($E$5:$E$38,E10,$B$5:$B$38,"&lt;"&amp;B10)</f>
        <v>6</v>
      </c>
      <c r="B10" s="5" t="s">
        <v>59</v>
      </c>
      <c r="C10" s="6" t="s">
        <v>60</v>
      </c>
      <c r="D10" s="7" t="s">
        <v>22</v>
      </c>
      <c r="E10" s="8" t="n">
        <f aca="false">IF(SUM('Веса и шкалы'!$C$6:$C$11)=0,0,ROUND(100*('Веса и шкалы'!$C$6*L10/5+'Веса и шкалы'!$C$7*M10/5+'Веса и шкалы'!$C$8*INDEX('Веса и шкалы'!$B$16:$B$19,MATCH(N10,'Веса и шкалы'!$A$16:$A$19,0))+'Веса и шкалы'!$C$9*(6-H10)/5+'Веса и шкалы'!$C$10*(4-I10)/3+'Веса и шкалы'!$C$11*INDEX('Веса и шкалы'!$B$23:$B$25,MATCH(O10,'Веса и шкалы'!$A$23:$A$25,0)))/SUM('Веса и шкалы'!$C$6:$C$11),0))</f>
        <v>73</v>
      </c>
      <c r="F10" s="9" t="s">
        <v>32</v>
      </c>
      <c r="G10" s="9" t="s">
        <v>61</v>
      </c>
      <c r="H10" s="10" t="n">
        <v>3</v>
      </c>
      <c r="I10" s="10" t="n">
        <v>2</v>
      </c>
      <c r="J10" s="5" t="str">
        <f aca="false">CHOOSE(I10,"до 0,3 млн ₽","0,3–1 млн ₽","1–3 млн ₽","3+ млн ₽")</f>
        <v>0,3–1 млн ₽</v>
      </c>
      <c r="K10" s="5" t="s">
        <v>25</v>
      </c>
      <c r="L10" s="10" t="n">
        <v>4</v>
      </c>
      <c r="M10" s="10" t="n">
        <v>3</v>
      </c>
      <c r="N10" s="10" t="s">
        <v>50</v>
      </c>
      <c r="O10" s="10" t="s">
        <v>34</v>
      </c>
      <c r="P10" s="9" t="s">
        <v>62</v>
      </c>
      <c r="Q10" s="9" t="s">
        <v>63</v>
      </c>
    </row>
    <row r="11" customFormat="false" ht="16.5" hidden="false" customHeight="true" outlineLevel="0" collapsed="false">
      <c r="A11" s="4" t="n">
        <f aca="false">RANK(E11,$E$5:$E$38,0)+COUNTIFS($E$5:$E$38,E11,$B$5:$B$38,"&lt;"&amp;B11)</f>
        <v>7</v>
      </c>
      <c r="B11" s="5" t="s">
        <v>64</v>
      </c>
      <c r="C11" s="6" t="s">
        <v>65</v>
      </c>
      <c r="D11" s="7" t="s">
        <v>39</v>
      </c>
      <c r="E11" s="8" t="n">
        <f aca="false">IF(SUM('Веса и шкалы'!$C$6:$C$11)=0,0,ROUND(100*('Веса и шкалы'!$C$6*L11/5+'Веса и шкалы'!$C$7*M11/5+'Веса и шкалы'!$C$8*INDEX('Веса и шкалы'!$B$16:$B$19,MATCH(N11,'Веса и шкалы'!$A$16:$A$19,0))+'Веса и шкалы'!$C$9*(6-H11)/5+'Веса и шкалы'!$C$10*(4-I11)/3+'Веса и шкалы'!$C$11*INDEX('Веса и шкалы'!$B$23:$B$25,MATCH(O11,'Веса и шкалы'!$A$23:$A$25,0)))/SUM('Веса и шкалы'!$C$6:$C$11),0))</f>
        <v>72</v>
      </c>
      <c r="F11" s="9" t="s">
        <v>40</v>
      </c>
      <c r="G11" s="9" t="s">
        <v>66</v>
      </c>
      <c r="H11" s="10" t="n">
        <v>1</v>
      </c>
      <c r="I11" s="10" t="n">
        <v>1</v>
      </c>
      <c r="J11" s="5" t="str">
        <f aca="false">CHOOSE(I11,"до 0,3 млн ₽","0,3–1 млн ₽","1–3 млн ₽","3+ млн ₽")</f>
        <v>до 0,3 млн ₽</v>
      </c>
      <c r="K11" s="5" t="s">
        <v>67</v>
      </c>
      <c r="L11" s="10" t="n">
        <v>2</v>
      </c>
      <c r="M11" s="10" t="n">
        <v>3</v>
      </c>
      <c r="N11" s="10" t="s">
        <v>50</v>
      </c>
      <c r="O11" s="10" t="s">
        <v>34</v>
      </c>
      <c r="P11" s="9" t="s">
        <v>68</v>
      </c>
      <c r="Q11" s="9" t="s">
        <v>69</v>
      </c>
    </row>
    <row r="12" customFormat="false" ht="29.25" hidden="false" customHeight="true" outlineLevel="0" collapsed="false">
      <c r="A12" s="4" t="n">
        <f aca="false">RANK(E12,$E$5:$E$38,0)+COUNTIFS($E$5:$E$38,E12,$B$5:$B$38,"&lt;"&amp;B12)</f>
        <v>8</v>
      </c>
      <c r="B12" s="5" t="s">
        <v>70</v>
      </c>
      <c r="C12" s="6" t="s">
        <v>71</v>
      </c>
      <c r="D12" s="7" t="s">
        <v>39</v>
      </c>
      <c r="E12" s="8" t="n">
        <f aca="false">IF(SUM('Веса и шкалы'!$C$6:$C$11)=0,0,ROUND(100*('Веса и шкалы'!$C$6*L12/5+'Веса и шкалы'!$C$7*M12/5+'Веса и шкалы'!$C$8*INDEX('Веса и шкалы'!$B$16:$B$19,MATCH(N12,'Веса и шкалы'!$A$16:$A$19,0))+'Веса и шкалы'!$C$9*(6-H12)/5+'Веса и шкалы'!$C$10*(4-I12)/3+'Веса и шкалы'!$C$11*INDEX('Веса и шкалы'!$B$23:$B$25,MATCH(O12,'Веса и шкалы'!$A$23:$A$25,0)))/SUM('Веса и шкалы'!$C$6:$C$11),0))</f>
        <v>72</v>
      </c>
      <c r="F12" s="9" t="s">
        <v>72</v>
      </c>
      <c r="G12" s="9" t="s">
        <v>73</v>
      </c>
      <c r="H12" s="10" t="n">
        <v>3</v>
      </c>
      <c r="I12" s="10" t="n">
        <v>2</v>
      </c>
      <c r="J12" s="5" t="str">
        <f aca="false">CHOOSE(I12,"до 0,3 млн ₽","0,3–1 млн ₽","1–3 млн ₽","3+ млн ₽")</f>
        <v>0,3–1 млн ₽</v>
      </c>
      <c r="K12" s="5" t="s">
        <v>25</v>
      </c>
      <c r="L12" s="10" t="n">
        <v>3</v>
      </c>
      <c r="M12" s="10" t="n">
        <v>4</v>
      </c>
      <c r="N12" s="10" t="s">
        <v>50</v>
      </c>
      <c r="O12" s="10" t="s">
        <v>34</v>
      </c>
      <c r="P12" s="9" t="s">
        <v>74</v>
      </c>
      <c r="Q12" s="9" t="s">
        <v>63</v>
      </c>
    </row>
    <row r="13" customFormat="false" ht="29.25" hidden="false" customHeight="true" outlineLevel="0" collapsed="false">
      <c r="A13" s="4" t="n">
        <f aca="false">RANK(E13,$E$5:$E$38,0)+COUNTIFS($E$5:$E$38,E13,$B$5:$B$38,"&lt;"&amp;B13)</f>
        <v>9</v>
      </c>
      <c r="B13" s="5" t="s">
        <v>75</v>
      </c>
      <c r="C13" s="6" t="s">
        <v>76</v>
      </c>
      <c r="D13" s="7" t="s">
        <v>22</v>
      </c>
      <c r="E13" s="8" t="n">
        <f aca="false">IF(SUM('Веса и шкалы'!$C$6:$C$11)=0,0,ROUND(100*('Веса и шкалы'!$C$6*L13/5+'Веса и шкалы'!$C$7*M13/5+'Веса и шкалы'!$C$8*INDEX('Веса и шкалы'!$B$16:$B$19,MATCH(N13,'Веса и шкалы'!$A$16:$A$19,0))+'Веса и шкалы'!$C$9*(6-H13)/5+'Веса и шкалы'!$C$10*(4-I13)/3+'Веса и шкалы'!$C$11*INDEX('Веса и шкалы'!$B$23:$B$25,MATCH(O13,'Веса и шкалы'!$A$23:$A$25,0)))/SUM('Веса и шкалы'!$C$6:$C$11),0))</f>
        <v>72</v>
      </c>
      <c r="F13" s="9" t="s">
        <v>40</v>
      </c>
      <c r="G13" s="9" t="s">
        <v>77</v>
      </c>
      <c r="H13" s="10" t="n">
        <v>3</v>
      </c>
      <c r="I13" s="10" t="n">
        <v>2</v>
      </c>
      <c r="J13" s="5" t="str">
        <f aca="false">CHOOSE(I13,"до 0,3 млн ₽","0,3–1 млн ₽","1–3 млн ₽","3+ млн ₽")</f>
        <v>0,3–1 млн ₽</v>
      </c>
      <c r="K13" s="5" t="s">
        <v>25</v>
      </c>
      <c r="L13" s="10" t="n">
        <v>3</v>
      </c>
      <c r="M13" s="10" t="n">
        <v>4</v>
      </c>
      <c r="N13" s="10" t="s">
        <v>50</v>
      </c>
      <c r="O13" s="10" t="s">
        <v>34</v>
      </c>
      <c r="P13" s="9" t="s">
        <v>78</v>
      </c>
      <c r="Q13" s="9" t="s">
        <v>79</v>
      </c>
    </row>
    <row r="14" customFormat="false" ht="29.25" hidden="false" customHeight="true" outlineLevel="0" collapsed="false">
      <c r="A14" s="4" t="n">
        <f aca="false">RANK(E14,$E$5:$E$38,0)+COUNTIFS($E$5:$E$38,E14,$B$5:$B$38,"&lt;"&amp;B14)</f>
        <v>10</v>
      </c>
      <c r="B14" s="5" t="s">
        <v>80</v>
      </c>
      <c r="C14" s="6" t="s">
        <v>81</v>
      </c>
      <c r="D14" s="7" t="s">
        <v>39</v>
      </c>
      <c r="E14" s="8" t="n">
        <f aca="false">IF(SUM('Веса и шкалы'!$C$6:$C$11)=0,0,ROUND(100*('Веса и шкалы'!$C$6*L14/5+'Веса и шкалы'!$C$7*M14/5+'Веса и шкалы'!$C$8*INDEX('Веса и шкалы'!$B$16:$B$19,MATCH(N14,'Веса и шкалы'!$A$16:$A$19,0))+'Веса и шкалы'!$C$9*(6-H14)/5+'Веса и шкалы'!$C$10*(4-I14)/3+'Веса и шкалы'!$C$11*INDEX('Веса и шкалы'!$B$23:$B$25,MATCH(O14,'Веса и шкалы'!$A$23:$A$25,0)))/SUM('Веса и шкалы'!$C$6:$C$11),0))</f>
        <v>71</v>
      </c>
      <c r="F14" s="9" t="s">
        <v>40</v>
      </c>
      <c r="G14" s="9" t="s">
        <v>82</v>
      </c>
      <c r="H14" s="10" t="n">
        <v>2</v>
      </c>
      <c r="I14" s="10" t="n">
        <v>2</v>
      </c>
      <c r="J14" s="5" t="str">
        <f aca="false">CHOOSE(I14,"до 0,3 млн ₽","0,3–1 млн ₽","1–3 млн ₽","3+ млн ₽")</f>
        <v>0,3–1 млн ₽</v>
      </c>
      <c r="K14" s="5" t="s">
        <v>49</v>
      </c>
      <c r="L14" s="10" t="n">
        <v>3</v>
      </c>
      <c r="M14" s="10" t="n">
        <v>3</v>
      </c>
      <c r="N14" s="10" t="s">
        <v>50</v>
      </c>
      <c r="O14" s="10" t="s">
        <v>34</v>
      </c>
      <c r="P14" s="9" t="s">
        <v>83</v>
      </c>
      <c r="Q14" s="9" t="s">
        <v>84</v>
      </c>
    </row>
    <row r="15" customFormat="false" ht="29.25" hidden="false" customHeight="true" outlineLevel="0" collapsed="false">
      <c r="A15" s="4" t="n">
        <f aca="false">RANK(E15,$E$5:$E$38,0)+COUNTIFS($E$5:$E$38,E15,$B$5:$B$38,"&lt;"&amp;B15)</f>
        <v>11</v>
      </c>
      <c r="B15" s="5" t="s">
        <v>85</v>
      </c>
      <c r="C15" s="6" t="s">
        <v>86</v>
      </c>
      <c r="D15" s="7" t="s">
        <v>39</v>
      </c>
      <c r="E15" s="8" t="n">
        <f aca="false">IF(SUM('Веса и шкалы'!$C$6:$C$11)=0,0,ROUND(100*('Веса и шкалы'!$C$6*L15/5+'Веса и шкалы'!$C$7*M15/5+'Веса и шкалы'!$C$8*INDEX('Веса и шкалы'!$B$16:$B$19,MATCH(N15,'Веса и шкалы'!$A$16:$A$19,0))+'Веса и шкалы'!$C$9*(6-H15)/5+'Веса и шкалы'!$C$10*(4-I15)/3+'Веса и шкалы'!$C$11*INDEX('Веса и шкалы'!$B$23:$B$25,MATCH(O15,'Веса и шкалы'!$A$23:$A$25,0)))/SUM('Веса и шкалы'!$C$6:$C$11),0))</f>
        <v>71</v>
      </c>
      <c r="F15" s="9" t="s">
        <v>23</v>
      </c>
      <c r="G15" s="9" t="s">
        <v>87</v>
      </c>
      <c r="H15" s="10" t="n">
        <v>2</v>
      </c>
      <c r="I15" s="10" t="n">
        <v>2</v>
      </c>
      <c r="J15" s="5" t="str">
        <f aca="false">CHOOSE(I15,"до 0,3 млн ₽","0,3–1 млн ₽","1–3 млн ₽","3+ млн ₽")</f>
        <v>0,3–1 млн ₽</v>
      </c>
      <c r="K15" s="5" t="s">
        <v>57</v>
      </c>
      <c r="L15" s="10" t="n">
        <v>3</v>
      </c>
      <c r="M15" s="10" t="n">
        <v>3</v>
      </c>
      <c r="N15" s="10" t="s">
        <v>50</v>
      </c>
      <c r="O15" s="10" t="s">
        <v>34</v>
      </c>
      <c r="P15" s="9" t="s">
        <v>88</v>
      </c>
      <c r="Q15" s="9" t="s">
        <v>36</v>
      </c>
    </row>
    <row r="16" customFormat="false" ht="29.25" hidden="false" customHeight="true" outlineLevel="0" collapsed="false">
      <c r="A16" s="4" t="n">
        <f aca="false">RANK(E16,$E$5:$E$38,0)+COUNTIFS($E$5:$E$38,E16,$B$5:$B$38,"&lt;"&amp;B16)</f>
        <v>12</v>
      </c>
      <c r="B16" s="5" t="s">
        <v>89</v>
      </c>
      <c r="C16" s="6" t="s">
        <v>90</v>
      </c>
      <c r="D16" s="7" t="s">
        <v>39</v>
      </c>
      <c r="E16" s="8" t="n">
        <f aca="false">IF(SUM('Веса и шкалы'!$C$6:$C$11)=0,0,ROUND(100*('Веса и шкалы'!$C$6*L16/5+'Веса и шкалы'!$C$7*M16/5+'Веса и шкалы'!$C$8*INDEX('Веса и шкалы'!$B$16:$B$19,MATCH(N16,'Веса и шкалы'!$A$16:$A$19,0))+'Веса и шкалы'!$C$9*(6-H16)/5+'Веса и шкалы'!$C$10*(4-I16)/3+'Веса и шкалы'!$C$11*INDEX('Веса и шкалы'!$B$23:$B$25,MATCH(O16,'Веса и шкалы'!$A$23:$A$25,0)))/SUM('Веса и шкалы'!$C$6:$C$11),0))</f>
        <v>71</v>
      </c>
      <c r="F16" s="9" t="s">
        <v>91</v>
      </c>
      <c r="G16" s="9" t="s">
        <v>92</v>
      </c>
      <c r="H16" s="10" t="n">
        <v>2</v>
      </c>
      <c r="I16" s="10" t="n">
        <v>2</v>
      </c>
      <c r="J16" s="5" t="str">
        <f aca="false">CHOOSE(I16,"до 0,3 млн ₽","0,3–1 млн ₽","1–3 млн ₽","3+ млн ₽")</f>
        <v>0,3–1 млн ₽</v>
      </c>
      <c r="K16" s="5" t="s">
        <v>57</v>
      </c>
      <c r="L16" s="10" t="n">
        <v>3</v>
      </c>
      <c r="M16" s="10" t="n">
        <v>3</v>
      </c>
      <c r="N16" s="10" t="s">
        <v>50</v>
      </c>
      <c r="O16" s="10" t="s">
        <v>34</v>
      </c>
      <c r="P16" s="9" t="s">
        <v>93</v>
      </c>
      <c r="Q16" s="9" t="s">
        <v>52</v>
      </c>
    </row>
    <row r="17" customFormat="false" ht="29.25" hidden="false" customHeight="true" outlineLevel="0" collapsed="false">
      <c r="A17" s="4" t="n">
        <f aca="false">RANK(E17,$E$5:$E$38,0)+COUNTIFS($E$5:$E$38,E17,$B$5:$B$38,"&lt;"&amp;B17)</f>
        <v>13</v>
      </c>
      <c r="B17" s="5" t="s">
        <v>94</v>
      </c>
      <c r="C17" s="6" t="s">
        <v>95</v>
      </c>
      <c r="D17" s="7" t="s">
        <v>39</v>
      </c>
      <c r="E17" s="8" t="n">
        <f aca="false">IF(SUM('Веса и шкалы'!$C$6:$C$11)=0,0,ROUND(100*('Веса и шкалы'!$C$6*L17/5+'Веса и шкалы'!$C$7*M17/5+'Веса и шкалы'!$C$8*INDEX('Веса и шкалы'!$B$16:$B$19,MATCH(N17,'Веса и шкалы'!$A$16:$A$19,0))+'Веса и шкалы'!$C$9*(6-H17)/5+'Веса и шкалы'!$C$10*(4-I17)/3+'Веса и шкалы'!$C$11*INDEX('Веса и шкалы'!$B$23:$B$25,MATCH(O17,'Веса и шкалы'!$A$23:$A$25,0)))/SUM('Веса и шкалы'!$C$6:$C$11),0))</f>
        <v>71</v>
      </c>
      <c r="F17" s="9" t="s">
        <v>91</v>
      </c>
      <c r="G17" s="9" t="s">
        <v>96</v>
      </c>
      <c r="H17" s="10" t="n">
        <v>2</v>
      </c>
      <c r="I17" s="10" t="n">
        <v>2</v>
      </c>
      <c r="J17" s="5" t="str">
        <f aca="false">CHOOSE(I17,"до 0,3 млн ₽","0,3–1 млн ₽","1–3 млн ₽","3+ млн ₽")</f>
        <v>0,3–1 млн ₽</v>
      </c>
      <c r="K17" s="5" t="s">
        <v>57</v>
      </c>
      <c r="L17" s="10" t="n">
        <v>4</v>
      </c>
      <c r="M17" s="10" t="n">
        <v>4</v>
      </c>
      <c r="N17" s="10" t="s">
        <v>43</v>
      </c>
      <c r="O17" s="10" t="s">
        <v>27</v>
      </c>
      <c r="P17" s="9" t="s">
        <v>97</v>
      </c>
      <c r="Q17" s="9" t="s">
        <v>98</v>
      </c>
    </row>
    <row r="18" customFormat="false" ht="29.25" hidden="false" customHeight="true" outlineLevel="0" collapsed="false">
      <c r="A18" s="4" t="n">
        <f aca="false">RANK(E18,$E$5:$E$38,0)+COUNTIFS($E$5:$E$38,E18,$B$5:$B$38,"&lt;"&amp;B18)</f>
        <v>14</v>
      </c>
      <c r="B18" s="5" t="s">
        <v>99</v>
      </c>
      <c r="C18" s="6" t="s">
        <v>100</v>
      </c>
      <c r="D18" s="7" t="s">
        <v>39</v>
      </c>
      <c r="E18" s="8" t="n">
        <f aca="false">IF(SUM('Веса и шкалы'!$C$6:$C$11)=0,0,ROUND(100*('Веса и шкалы'!$C$6*L18/5+'Веса и шкалы'!$C$7*M18/5+'Веса и шкалы'!$C$8*INDEX('Веса и шкалы'!$B$16:$B$19,MATCH(N18,'Веса и шкалы'!$A$16:$A$19,0))+'Веса и шкалы'!$C$9*(6-H18)/5+'Веса и шкалы'!$C$10*(4-I18)/3+'Веса и шкалы'!$C$11*INDEX('Веса и шкалы'!$B$23:$B$25,MATCH(O18,'Веса и шкалы'!$A$23:$A$25,0)))/SUM('Веса и шкалы'!$C$6:$C$11),0))</f>
        <v>71</v>
      </c>
      <c r="F18" s="9" t="s">
        <v>32</v>
      </c>
      <c r="G18" s="9" t="s">
        <v>101</v>
      </c>
      <c r="H18" s="10" t="n">
        <v>2</v>
      </c>
      <c r="I18" s="10" t="n">
        <v>2</v>
      </c>
      <c r="J18" s="5" t="str">
        <f aca="false">CHOOSE(I18,"до 0,3 млн ₽","0,3–1 млн ₽","1–3 млн ₽","3+ млн ₽")</f>
        <v>0,3–1 млн ₽</v>
      </c>
      <c r="K18" s="5" t="s">
        <v>57</v>
      </c>
      <c r="L18" s="10" t="n">
        <v>3</v>
      </c>
      <c r="M18" s="10" t="n">
        <v>3</v>
      </c>
      <c r="N18" s="10" t="s">
        <v>50</v>
      </c>
      <c r="O18" s="10" t="s">
        <v>34</v>
      </c>
      <c r="P18" s="9" t="s">
        <v>102</v>
      </c>
      <c r="Q18" s="9" t="s">
        <v>63</v>
      </c>
    </row>
    <row r="19" customFormat="false" ht="16.5" hidden="false" customHeight="true" outlineLevel="0" collapsed="false">
      <c r="A19" s="4" t="n">
        <f aca="false">RANK(E19,$E$5:$E$38,0)+COUNTIFS($E$5:$E$38,E19,$B$5:$B$38,"&lt;"&amp;B19)</f>
        <v>15</v>
      </c>
      <c r="B19" s="5" t="s">
        <v>103</v>
      </c>
      <c r="C19" s="6" t="s">
        <v>104</v>
      </c>
      <c r="D19" s="7" t="s">
        <v>39</v>
      </c>
      <c r="E19" s="8" t="n">
        <f aca="false">IF(SUM('Веса и шкалы'!$C$6:$C$11)=0,0,ROUND(100*('Веса и шкалы'!$C$6*L19/5+'Веса и шкалы'!$C$7*M19/5+'Веса и шкалы'!$C$8*INDEX('Веса и шкалы'!$B$16:$B$19,MATCH(N19,'Веса и шкалы'!$A$16:$A$19,0))+'Веса и шкалы'!$C$9*(6-H19)/5+'Веса и шкалы'!$C$10*(4-I19)/3+'Веса и шкалы'!$C$11*INDEX('Веса и шкалы'!$B$23:$B$25,MATCH(O19,'Веса и шкалы'!$A$23:$A$25,0)))/SUM('Веса и шкалы'!$C$6:$C$11),0))</f>
        <v>70</v>
      </c>
      <c r="F19" s="9" t="s">
        <v>105</v>
      </c>
      <c r="G19" s="9" t="s">
        <v>106</v>
      </c>
      <c r="H19" s="10" t="n">
        <v>2</v>
      </c>
      <c r="I19" s="10" t="n">
        <v>2</v>
      </c>
      <c r="J19" s="5" t="str">
        <f aca="false">CHOOSE(I19,"до 0,3 млн ₽","0,3–1 млн ₽","1–3 млн ₽","3+ млн ₽")</f>
        <v>0,3–1 млн ₽</v>
      </c>
      <c r="K19" s="5" t="s">
        <v>57</v>
      </c>
      <c r="L19" s="10" t="n">
        <v>3</v>
      </c>
      <c r="M19" s="10" t="n">
        <v>4</v>
      </c>
      <c r="N19" s="10" t="s">
        <v>43</v>
      </c>
      <c r="O19" s="10" t="s">
        <v>34</v>
      </c>
      <c r="P19" s="9" t="s">
        <v>107</v>
      </c>
      <c r="Q19" s="9" t="s">
        <v>108</v>
      </c>
    </row>
    <row r="20" customFormat="false" ht="29.25" hidden="false" customHeight="true" outlineLevel="0" collapsed="false">
      <c r="A20" s="4" t="n">
        <f aca="false">RANK(E20,$E$5:$E$38,0)+COUNTIFS($E$5:$E$38,E20,$B$5:$B$38,"&lt;"&amp;B20)</f>
        <v>16</v>
      </c>
      <c r="B20" s="5" t="s">
        <v>109</v>
      </c>
      <c r="C20" s="6" t="s">
        <v>110</v>
      </c>
      <c r="D20" s="7" t="s">
        <v>39</v>
      </c>
      <c r="E20" s="8" t="n">
        <f aca="false">IF(SUM('Веса и шкалы'!$C$6:$C$11)=0,0,ROUND(100*('Веса и шкалы'!$C$6*L20/5+'Веса и шкалы'!$C$7*M20/5+'Веса и шкалы'!$C$8*INDEX('Веса и шкалы'!$B$16:$B$19,MATCH(N20,'Веса и шкалы'!$A$16:$A$19,0))+'Веса и шкалы'!$C$9*(6-H20)/5+'Веса и шкалы'!$C$10*(4-I20)/3+'Веса и шкалы'!$C$11*INDEX('Веса и шкалы'!$B$23:$B$25,MATCH(O20,'Веса и шкалы'!$A$23:$A$25,0)))/SUM('Веса и шкалы'!$C$6:$C$11),0))</f>
        <v>70</v>
      </c>
      <c r="F20" s="9" t="s">
        <v>23</v>
      </c>
      <c r="G20" s="9" t="s">
        <v>111</v>
      </c>
      <c r="H20" s="10" t="n">
        <v>3</v>
      </c>
      <c r="I20" s="10" t="n">
        <v>3</v>
      </c>
      <c r="J20" s="5" t="str">
        <f aca="false">CHOOSE(I20,"до 0,3 млн ₽","0,3–1 млн ₽","1–3 млн ₽","3+ млн ₽")</f>
        <v>1–3 млн ₽</v>
      </c>
      <c r="K20" s="5" t="s">
        <v>112</v>
      </c>
      <c r="L20" s="10" t="n">
        <v>4</v>
      </c>
      <c r="M20" s="10" t="n">
        <v>3</v>
      </c>
      <c r="N20" s="10" t="s">
        <v>26</v>
      </c>
      <c r="O20" s="10" t="s">
        <v>27</v>
      </c>
      <c r="P20" s="9" t="s">
        <v>113</v>
      </c>
      <c r="Q20" s="9" t="s">
        <v>114</v>
      </c>
    </row>
    <row r="21" customFormat="false" ht="29.25" hidden="false" customHeight="true" outlineLevel="0" collapsed="false">
      <c r="A21" s="4" t="n">
        <f aca="false">RANK(E21,$E$5:$E$38,0)+COUNTIFS($E$5:$E$38,E21,$B$5:$B$38,"&lt;"&amp;B21)</f>
        <v>17</v>
      </c>
      <c r="B21" s="5" t="s">
        <v>115</v>
      </c>
      <c r="C21" s="6" t="s">
        <v>116</v>
      </c>
      <c r="D21" s="7" t="s">
        <v>22</v>
      </c>
      <c r="E21" s="8" t="n">
        <f aca="false">IF(SUM('Веса и шкалы'!$C$6:$C$11)=0,0,ROUND(100*('Веса и шкалы'!$C$6*L21/5+'Веса и шкалы'!$C$7*M21/5+'Веса и шкалы'!$C$8*INDEX('Веса и шкалы'!$B$16:$B$19,MATCH(N21,'Веса и шкалы'!$A$16:$A$19,0))+'Веса и шкалы'!$C$9*(6-H21)/5+'Веса и шкалы'!$C$10*(4-I21)/3+'Веса и шкалы'!$C$11*INDEX('Веса и шкалы'!$B$23:$B$25,MATCH(O21,'Веса и шкалы'!$A$23:$A$25,0)))/SUM('Веса и шкалы'!$C$6:$C$11),0))</f>
        <v>69</v>
      </c>
      <c r="F21" s="9" t="s">
        <v>40</v>
      </c>
      <c r="G21" s="9" t="s">
        <v>117</v>
      </c>
      <c r="H21" s="10" t="n">
        <v>2</v>
      </c>
      <c r="I21" s="10" t="n">
        <v>1</v>
      </c>
      <c r="J21" s="5" t="str">
        <f aca="false">CHOOSE(I21,"до 0,3 млн ₽","0,3–1 млн ₽","1–3 млн ₽","3+ млн ₽")</f>
        <v>до 0,3 млн ₽</v>
      </c>
      <c r="K21" s="5" t="s">
        <v>57</v>
      </c>
      <c r="L21" s="10" t="n">
        <v>2</v>
      </c>
      <c r="M21" s="10" t="n">
        <v>3</v>
      </c>
      <c r="N21" s="10" t="s">
        <v>50</v>
      </c>
      <c r="O21" s="10" t="s">
        <v>34</v>
      </c>
      <c r="P21" s="9" t="s">
        <v>118</v>
      </c>
      <c r="Q21" s="9" t="s">
        <v>119</v>
      </c>
    </row>
    <row r="22" customFormat="false" ht="29.25" hidden="false" customHeight="true" outlineLevel="0" collapsed="false">
      <c r="A22" s="4" t="n">
        <f aca="false">RANK(E22,$E$5:$E$38,0)+COUNTIFS($E$5:$E$38,E22,$B$5:$B$38,"&lt;"&amp;B22)</f>
        <v>18</v>
      </c>
      <c r="B22" s="5" t="s">
        <v>120</v>
      </c>
      <c r="C22" s="6" t="s">
        <v>121</v>
      </c>
      <c r="D22" s="7" t="s">
        <v>22</v>
      </c>
      <c r="E22" s="8" t="n">
        <f aca="false">IF(SUM('Веса и шкалы'!$C$6:$C$11)=0,0,ROUND(100*('Веса и шкалы'!$C$6*L22/5+'Веса и шкалы'!$C$7*M22/5+'Веса и шкалы'!$C$8*INDEX('Веса и шкалы'!$B$16:$B$19,MATCH(N22,'Веса и шкалы'!$A$16:$A$19,0))+'Веса и шкалы'!$C$9*(6-H22)/5+'Веса и шкалы'!$C$10*(4-I22)/3+'Веса и шкалы'!$C$11*INDEX('Веса и шкалы'!$B$23:$B$25,MATCH(O22,'Веса и шкалы'!$A$23:$A$25,0)))/SUM('Веса и шкалы'!$C$6:$C$11),0))</f>
        <v>69</v>
      </c>
      <c r="F22" s="9" t="s">
        <v>23</v>
      </c>
      <c r="G22" s="9" t="s">
        <v>122</v>
      </c>
      <c r="H22" s="10" t="n">
        <v>2</v>
      </c>
      <c r="I22" s="10" t="n">
        <v>1</v>
      </c>
      <c r="J22" s="5" t="str">
        <f aca="false">CHOOSE(I22,"до 0,3 млн ₽","0,3–1 млн ₽","1–3 млн ₽","3+ млн ₽")</f>
        <v>до 0,3 млн ₽</v>
      </c>
      <c r="K22" s="5" t="s">
        <v>123</v>
      </c>
      <c r="L22" s="10" t="n">
        <v>2</v>
      </c>
      <c r="M22" s="10" t="n">
        <v>4</v>
      </c>
      <c r="N22" s="10" t="s">
        <v>50</v>
      </c>
      <c r="O22" s="10" t="s">
        <v>27</v>
      </c>
      <c r="P22" s="9" t="s">
        <v>124</v>
      </c>
      <c r="Q22" s="9" t="s">
        <v>125</v>
      </c>
    </row>
    <row r="23" customFormat="false" ht="29.25" hidden="false" customHeight="true" outlineLevel="0" collapsed="false">
      <c r="A23" s="4" t="n">
        <f aca="false">RANK(E23,$E$5:$E$38,0)+COUNTIFS($E$5:$E$38,E23,$B$5:$B$38,"&lt;"&amp;B23)</f>
        <v>19</v>
      </c>
      <c r="B23" s="5" t="s">
        <v>126</v>
      </c>
      <c r="C23" s="6" t="s">
        <v>127</v>
      </c>
      <c r="D23" s="7" t="s">
        <v>39</v>
      </c>
      <c r="E23" s="8" t="n">
        <f aca="false">IF(SUM('Веса и шкалы'!$C$6:$C$11)=0,0,ROUND(100*('Веса и шкалы'!$C$6*L23/5+'Веса и шкалы'!$C$7*M23/5+'Веса и шкалы'!$C$8*INDEX('Веса и шкалы'!$B$16:$B$19,MATCH(N23,'Веса и шкалы'!$A$16:$A$19,0))+'Веса и шкалы'!$C$9*(6-H23)/5+'Веса и шкалы'!$C$10*(4-I23)/3+'Веса и шкалы'!$C$11*INDEX('Веса и шкалы'!$B$23:$B$25,MATCH(O23,'Веса и шкалы'!$A$23:$A$25,0)))/SUM('Веса и шкалы'!$C$6:$C$11),0))</f>
        <v>68</v>
      </c>
      <c r="F23" s="9" t="s">
        <v>40</v>
      </c>
      <c r="G23" s="9" t="s">
        <v>128</v>
      </c>
      <c r="H23" s="10" t="n">
        <v>3</v>
      </c>
      <c r="I23" s="10" t="n">
        <v>3</v>
      </c>
      <c r="J23" s="5" t="str">
        <f aca="false">CHOOSE(I23,"до 0,3 млн ₽","0,3–1 млн ₽","1–3 млн ₽","3+ млн ₽")</f>
        <v>1–3 млн ₽</v>
      </c>
      <c r="K23" s="5" t="s">
        <v>129</v>
      </c>
      <c r="L23" s="10" t="n">
        <v>4</v>
      </c>
      <c r="M23" s="10" t="n">
        <v>4</v>
      </c>
      <c r="N23" s="10" t="s">
        <v>43</v>
      </c>
      <c r="O23" s="10" t="s">
        <v>34</v>
      </c>
      <c r="P23" s="9" t="s">
        <v>130</v>
      </c>
      <c r="Q23" s="9" t="s">
        <v>131</v>
      </c>
    </row>
    <row r="24" customFormat="false" ht="29.25" hidden="false" customHeight="true" outlineLevel="0" collapsed="false">
      <c r="A24" s="4" t="n">
        <f aca="false">RANK(E24,$E$5:$E$38,0)+COUNTIFS($E$5:$E$38,E24,$B$5:$B$38,"&lt;"&amp;B24)</f>
        <v>20</v>
      </c>
      <c r="B24" s="5" t="s">
        <v>132</v>
      </c>
      <c r="C24" s="6" t="s">
        <v>133</v>
      </c>
      <c r="D24" s="7" t="s">
        <v>39</v>
      </c>
      <c r="E24" s="8" t="n">
        <f aca="false">IF(SUM('Веса и шкалы'!$C$6:$C$11)=0,0,ROUND(100*('Веса и шкалы'!$C$6*L24/5+'Веса и шкалы'!$C$7*M24/5+'Веса и шкалы'!$C$8*INDEX('Веса и шкалы'!$B$16:$B$19,MATCH(N24,'Веса и шкалы'!$A$16:$A$19,0))+'Веса и шкалы'!$C$9*(6-H24)/5+'Веса и шкалы'!$C$10*(4-I24)/3+'Веса и шкалы'!$C$11*INDEX('Веса и шкалы'!$B$23:$B$25,MATCH(O24,'Веса и шкалы'!$A$23:$A$25,0)))/SUM('Веса и шкалы'!$C$6:$C$11),0))</f>
        <v>68</v>
      </c>
      <c r="F24" s="9" t="s">
        <v>134</v>
      </c>
      <c r="G24" s="9" t="s">
        <v>135</v>
      </c>
      <c r="H24" s="10" t="n">
        <v>3</v>
      </c>
      <c r="I24" s="10" t="n">
        <v>2</v>
      </c>
      <c r="J24" s="5" t="str">
        <f aca="false">CHOOSE(I24,"до 0,3 млн ₽","0,3–1 млн ₽","1–3 млн ₽","3+ млн ₽")</f>
        <v>0,3–1 млн ₽</v>
      </c>
      <c r="K24" s="5" t="s">
        <v>25</v>
      </c>
      <c r="L24" s="10" t="n">
        <v>3</v>
      </c>
      <c r="M24" s="10" t="n">
        <v>4</v>
      </c>
      <c r="N24" s="10" t="s">
        <v>50</v>
      </c>
      <c r="O24" s="10" t="s">
        <v>27</v>
      </c>
      <c r="P24" s="9" t="s">
        <v>136</v>
      </c>
      <c r="Q24" s="9" t="s">
        <v>63</v>
      </c>
    </row>
    <row r="25" customFormat="false" ht="16.5" hidden="false" customHeight="true" outlineLevel="0" collapsed="false">
      <c r="A25" s="4" t="n">
        <f aca="false">RANK(E25,$E$5:$E$38,0)+COUNTIFS($E$5:$E$38,E25,$B$5:$B$38,"&lt;"&amp;B25)</f>
        <v>21</v>
      </c>
      <c r="B25" s="5" t="s">
        <v>137</v>
      </c>
      <c r="C25" s="6" t="s">
        <v>138</v>
      </c>
      <c r="D25" s="7" t="s">
        <v>39</v>
      </c>
      <c r="E25" s="8" t="n">
        <f aca="false">IF(SUM('Веса и шкалы'!$C$6:$C$11)=0,0,ROUND(100*('Веса и шкалы'!$C$6*L25/5+'Веса и шкалы'!$C$7*M25/5+'Веса и шкалы'!$C$8*INDEX('Веса и шкалы'!$B$16:$B$19,MATCH(N25,'Веса и шкалы'!$A$16:$A$19,0))+'Веса и шкалы'!$C$9*(6-H25)/5+'Веса и шкалы'!$C$10*(4-I25)/3+'Веса и шкалы'!$C$11*INDEX('Веса и шкалы'!$B$23:$B$25,MATCH(O25,'Веса и шкалы'!$A$23:$A$25,0)))/SUM('Веса и шкалы'!$C$6:$C$11),0))</f>
        <v>67</v>
      </c>
      <c r="F25" s="9" t="s">
        <v>55</v>
      </c>
      <c r="G25" s="9" t="s">
        <v>139</v>
      </c>
      <c r="H25" s="10" t="n">
        <v>2</v>
      </c>
      <c r="I25" s="10" t="n">
        <v>2</v>
      </c>
      <c r="J25" s="5" t="str">
        <f aca="false">CHOOSE(I25,"до 0,3 млн ₽","0,3–1 млн ₽","1–3 млн ₽","3+ млн ₽")</f>
        <v>0,3–1 млн ₽</v>
      </c>
      <c r="K25" s="5" t="s">
        <v>57</v>
      </c>
      <c r="L25" s="10" t="n">
        <v>3</v>
      </c>
      <c r="M25" s="10" t="n">
        <v>3</v>
      </c>
      <c r="N25" s="10" t="s">
        <v>50</v>
      </c>
      <c r="O25" s="10" t="s">
        <v>27</v>
      </c>
      <c r="P25" s="9" t="s">
        <v>140</v>
      </c>
      <c r="Q25" s="9" t="s">
        <v>141</v>
      </c>
    </row>
    <row r="26" customFormat="false" ht="29.25" hidden="false" customHeight="true" outlineLevel="0" collapsed="false">
      <c r="A26" s="4" t="n">
        <f aca="false">RANK(E26,$E$5:$E$38,0)+COUNTIFS($E$5:$E$38,E26,$B$5:$B$38,"&lt;"&amp;B26)</f>
        <v>22</v>
      </c>
      <c r="B26" s="5" t="s">
        <v>142</v>
      </c>
      <c r="C26" s="6" t="s">
        <v>143</v>
      </c>
      <c r="D26" s="7" t="s">
        <v>39</v>
      </c>
      <c r="E26" s="8" t="n">
        <f aca="false">IF(SUM('Веса и шкалы'!$C$6:$C$11)=0,0,ROUND(100*('Веса и шкалы'!$C$6*L26/5+'Веса и шкалы'!$C$7*M26/5+'Веса и шкалы'!$C$8*INDEX('Веса и шкалы'!$B$16:$B$19,MATCH(N26,'Веса и шкалы'!$A$16:$A$19,0))+'Веса и шкалы'!$C$9*(6-H26)/5+'Веса и шкалы'!$C$10*(4-I26)/3+'Веса и шкалы'!$C$11*INDEX('Веса и шкалы'!$B$23:$B$25,MATCH(O26,'Веса и шкалы'!$A$23:$A$25,0)))/SUM('Веса и шкалы'!$C$6:$C$11),0))</f>
        <v>67</v>
      </c>
      <c r="F26" s="9" t="s">
        <v>144</v>
      </c>
      <c r="G26" s="9" t="s">
        <v>145</v>
      </c>
      <c r="H26" s="10" t="n">
        <v>2</v>
      </c>
      <c r="I26" s="10" t="n">
        <v>2</v>
      </c>
      <c r="J26" s="5" t="str">
        <f aca="false">CHOOSE(I26,"до 0,3 млн ₽","0,3–1 млн ₽","1–3 млн ₽","3+ млн ₽")</f>
        <v>0,3–1 млн ₽</v>
      </c>
      <c r="K26" s="5" t="s">
        <v>57</v>
      </c>
      <c r="L26" s="10" t="n">
        <v>4</v>
      </c>
      <c r="M26" s="10" t="n">
        <v>3</v>
      </c>
      <c r="N26" s="10" t="s">
        <v>43</v>
      </c>
      <c r="O26" s="10" t="s">
        <v>27</v>
      </c>
      <c r="P26" s="9" t="s">
        <v>146</v>
      </c>
      <c r="Q26" s="9" t="s">
        <v>147</v>
      </c>
    </row>
    <row r="27" customFormat="false" ht="29.25" hidden="false" customHeight="true" outlineLevel="0" collapsed="false">
      <c r="A27" s="4" t="n">
        <f aca="false">RANK(E27,$E$5:$E$38,0)+COUNTIFS($E$5:$E$38,E27,$B$5:$B$38,"&lt;"&amp;B27)</f>
        <v>23</v>
      </c>
      <c r="B27" s="5" t="s">
        <v>148</v>
      </c>
      <c r="C27" s="6" t="s">
        <v>149</v>
      </c>
      <c r="D27" s="7" t="s">
        <v>39</v>
      </c>
      <c r="E27" s="8" t="n">
        <f aca="false">IF(SUM('Веса и шкалы'!$C$6:$C$11)=0,0,ROUND(100*('Веса и шкалы'!$C$6*L27/5+'Веса и шкалы'!$C$7*M27/5+'Веса и шкалы'!$C$8*INDEX('Веса и шкалы'!$B$16:$B$19,MATCH(N27,'Веса и шкалы'!$A$16:$A$19,0))+'Веса и шкалы'!$C$9*(6-H27)/5+'Веса и шкалы'!$C$10*(4-I27)/3+'Веса и шкалы'!$C$11*INDEX('Веса и шкалы'!$B$23:$B$25,MATCH(O27,'Веса и шкалы'!$A$23:$A$25,0)))/SUM('Веса и шкалы'!$C$6:$C$11),0))</f>
        <v>66</v>
      </c>
      <c r="F27" s="9" t="s">
        <v>72</v>
      </c>
      <c r="G27" s="9" t="s">
        <v>150</v>
      </c>
      <c r="H27" s="10" t="n">
        <v>2</v>
      </c>
      <c r="I27" s="10" t="n">
        <v>2</v>
      </c>
      <c r="J27" s="5" t="str">
        <f aca="false">CHOOSE(I27,"до 0,3 млн ₽","0,3–1 млн ₽","1–3 млн ₽","3+ млн ₽")</f>
        <v>0,3–1 млн ₽</v>
      </c>
      <c r="K27" s="5" t="s">
        <v>57</v>
      </c>
      <c r="L27" s="10" t="n">
        <v>2</v>
      </c>
      <c r="M27" s="10" t="n">
        <v>3</v>
      </c>
      <c r="N27" s="10" t="s">
        <v>50</v>
      </c>
      <c r="O27" s="10" t="s">
        <v>34</v>
      </c>
      <c r="P27" s="9" t="s">
        <v>151</v>
      </c>
      <c r="Q27" s="9" t="s">
        <v>152</v>
      </c>
    </row>
    <row r="28" customFormat="false" ht="29.25" hidden="false" customHeight="true" outlineLevel="0" collapsed="false">
      <c r="A28" s="4" t="n">
        <f aca="false">RANK(E28,$E$5:$E$38,0)+COUNTIFS($E$5:$E$38,E28,$B$5:$B$38,"&lt;"&amp;B28)</f>
        <v>24</v>
      </c>
      <c r="B28" s="5" t="s">
        <v>153</v>
      </c>
      <c r="C28" s="6" t="s">
        <v>154</v>
      </c>
      <c r="D28" s="7" t="s">
        <v>39</v>
      </c>
      <c r="E28" s="8" t="n">
        <f aca="false">IF(SUM('Веса и шкалы'!$C$6:$C$11)=0,0,ROUND(100*('Веса и шкалы'!$C$6*L28/5+'Веса и шкалы'!$C$7*M28/5+'Веса и шкалы'!$C$8*INDEX('Веса и шкалы'!$B$16:$B$19,MATCH(N28,'Веса и шкалы'!$A$16:$A$19,0))+'Веса и шкалы'!$C$9*(6-H28)/5+'Веса и шкалы'!$C$10*(4-I28)/3+'Веса и шкалы'!$C$11*INDEX('Веса и шкалы'!$B$23:$B$25,MATCH(O28,'Веса и шкалы'!$A$23:$A$25,0)))/SUM('Веса и шкалы'!$C$6:$C$11),0))</f>
        <v>65</v>
      </c>
      <c r="F28" s="9" t="s">
        <v>32</v>
      </c>
      <c r="G28" s="9" t="s">
        <v>155</v>
      </c>
      <c r="H28" s="10" t="n">
        <v>2</v>
      </c>
      <c r="I28" s="10" t="n">
        <v>2</v>
      </c>
      <c r="J28" s="5" t="str">
        <f aca="false">CHOOSE(I28,"до 0,3 млн ₽","0,3–1 млн ₽","1–3 млн ₽","3+ млн ₽")</f>
        <v>0,3–1 млн ₽</v>
      </c>
      <c r="K28" s="5" t="s">
        <v>57</v>
      </c>
      <c r="L28" s="10" t="n">
        <v>2</v>
      </c>
      <c r="M28" s="10" t="n">
        <v>4</v>
      </c>
      <c r="N28" s="10" t="s">
        <v>43</v>
      </c>
      <c r="O28" s="10" t="s">
        <v>34</v>
      </c>
      <c r="P28" s="9" t="s">
        <v>156</v>
      </c>
      <c r="Q28" s="9" t="s">
        <v>157</v>
      </c>
    </row>
    <row r="29" customFormat="false" ht="29.25" hidden="false" customHeight="true" outlineLevel="0" collapsed="false">
      <c r="A29" s="4" t="n">
        <f aca="false">RANK(E29,$E$5:$E$38,0)+COUNTIFS($E$5:$E$38,E29,$B$5:$B$38,"&lt;"&amp;B29)</f>
        <v>25</v>
      </c>
      <c r="B29" s="5" t="s">
        <v>158</v>
      </c>
      <c r="C29" s="6" t="s">
        <v>159</v>
      </c>
      <c r="D29" s="7" t="s">
        <v>22</v>
      </c>
      <c r="E29" s="8" t="n">
        <f aca="false">IF(SUM('Веса и шкалы'!$C$6:$C$11)=0,0,ROUND(100*('Веса и шкалы'!$C$6*L29/5+'Веса и шкалы'!$C$7*M29/5+'Веса и шкалы'!$C$8*INDEX('Веса и шкалы'!$B$16:$B$19,MATCH(N29,'Веса и шкалы'!$A$16:$A$19,0))+'Веса и шкалы'!$C$9*(6-H29)/5+'Веса и шкалы'!$C$10*(4-I29)/3+'Веса и шкалы'!$C$11*INDEX('Веса и шкалы'!$B$23:$B$25,MATCH(O29,'Веса и шкалы'!$A$23:$A$25,0)))/SUM('Веса и шкалы'!$C$6:$C$11),0))</f>
        <v>65</v>
      </c>
      <c r="F29" s="9" t="s">
        <v>144</v>
      </c>
      <c r="G29" s="9" t="s">
        <v>160</v>
      </c>
      <c r="H29" s="10" t="n">
        <v>3</v>
      </c>
      <c r="I29" s="10" t="n">
        <v>2</v>
      </c>
      <c r="J29" s="5" t="str">
        <f aca="false">CHOOSE(I29,"до 0,3 млн ₽","0,3–1 млн ₽","1–3 млн ₽","3+ млн ₽")</f>
        <v>0,3–1 млн ₽</v>
      </c>
      <c r="K29" s="5" t="s">
        <v>25</v>
      </c>
      <c r="L29" s="10" t="n">
        <v>4</v>
      </c>
      <c r="M29" s="10" t="n">
        <v>2</v>
      </c>
      <c r="N29" s="10" t="s">
        <v>50</v>
      </c>
      <c r="O29" s="10" t="s">
        <v>27</v>
      </c>
      <c r="P29" s="9" t="s">
        <v>161</v>
      </c>
      <c r="Q29" s="9" t="s">
        <v>162</v>
      </c>
    </row>
    <row r="30" customFormat="false" ht="29.25" hidden="false" customHeight="true" outlineLevel="0" collapsed="false">
      <c r="A30" s="4" t="n">
        <f aca="false">RANK(E30,$E$5:$E$38,0)+COUNTIFS($E$5:$E$38,E30,$B$5:$B$38,"&lt;"&amp;B30)</f>
        <v>26</v>
      </c>
      <c r="B30" s="5" t="s">
        <v>163</v>
      </c>
      <c r="C30" s="6" t="s">
        <v>164</v>
      </c>
      <c r="D30" s="7" t="s">
        <v>22</v>
      </c>
      <c r="E30" s="8" t="n">
        <f aca="false">IF(SUM('Веса и шкалы'!$C$6:$C$11)=0,0,ROUND(100*('Веса и шкалы'!$C$6*L30/5+'Веса и шкалы'!$C$7*M30/5+'Веса и шкалы'!$C$8*INDEX('Веса и шкалы'!$B$16:$B$19,MATCH(N30,'Веса и шкалы'!$A$16:$A$19,0))+'Веса и шкалы'!$C$9*(6-H30)/5+'Веса и шкалы'!$C$10*(4-I30)/3+'Веса и шкалы'!$C$11*INDEX('Веса и шкалы'!$B$23:$B$25,MATCH(O30,'Веса и шкалы'!$A$23:$A$25,0)))/SUM('Веса и шкалы'!$C$6:$C$11),0))</f>
        <v>64</v>
      </c>
      <c r="F30" s="9" t="s">
        <v>105</v>
      </c>
      <c r="G30" s="9" t="s">
        <v>165</v>
      </c>
      <c r="H30" s="10" t="n">
        <v>3</v>
      </c>
      <c r="I30" s="10" t="n">
        <v>2</v>
      </c>
      <c r="J30" s="5" t="str">
        <f aca="false">CHOOSE(I30,"до 0,3 млн ₽","0,3–1 млн ₽","1–3 млн ₽","3+ млн ₽")</f>
        <v>0,3–1 млн ₽</v>
      </c>
      <c r="K30" s="5" t="s">
        <v>25</v>
      </c>
      <c r="L30" s="10" t="n">
        <v>3</v>
      </c>
      <c r="M30" s="10" t="n">
        <v>4</v>
      </c>
      <c r="N30" s="10" t="s">
        <v>50</v>
      </c>
      <c r="O30" s="10" t="s">
        <v>166</v>
      </c>
      <c r="P30" s="9" t="s">
        <v>167</v>
      </c>
      <c r="Q30" s="9" t="s">
        <v>157</v>
      </c>
    </row>
    <row r="31" customFormat="false" ht="29.25" hidden="false" customHeight="true" outlineLevel="0" collapsed="false">
      <c r="A31" s="4" t="n">
        <f aca="false">RANK(E31,$E$5:$E$38,0)+COUNTIFS($E$5:$E$38,E31,$B$5:$B$38,"&lt;"&amp;B31)</f>
        <v>27</v>
      </c>
      <c r="B31" s="5" t="s">
        <v>168</v>
      </c>
      <c r="C31" s="6" t="s">
        <v>169</v>
      </c>
      <c r="D31" s="7" t="s">
        <v>39</v>
      </c>
      <c r="E31" s="8" t="n">
        <f aca="false">IF(SUM('Веса и шкалы'!$C$6:$C$11)=0,0,ROUND(100*('Веса и шкалы'!$C$6*L31/5+'Веса и шкалы'!$C$7*M31/5+'Веса и шкалы'!$C$8*INDEX('Веса и шкалы'!$B$16:$B$19,MATCH(N31,'Веса и шкалы'!$A$16:$A$19,0))+'Веса и шкалы'!$C$9*(6-H31)/5+'Веса и шкалы'!$C$10*(4-I31)/3+'Веса и шкалы'!$C$11*INDEX('Веса и шкалы'!$B$23:$B$25,MATCH(O31,'Веса и шкалы'!$A$23:$A$25,0)))/SUM('Веса и шкалы'!$C$6:$C$11),0))</f>
        <v>62</v>
      </c>
      <c r="F31" s="9" t="s">
        <v>40</v>
      </c>
      <c r="G31" s="9" t="s">
        <v>170</v>
      </c>
      <c r="H31" s="10" t="n">
        <v>2</v>
      </c>
      <c r="I31" s="10" t="n">
        <v>2</v>
      </c>
      <c r="J31" s="5" t="str">
        <f aca="false">CHOOSE(I31,"до 0,3 млн ₽","0,3–1 млн ₽","1–3 млн ₽","3+ млн ₽")</f>
        <v>0,3–1 млн ₽</v>
      </c>
      <c r="K31" s="5" t="s">
        <v>57</v>
      </c>
      <c r="L31" s="10" t="n">
        <v>2</v>
      </c>
      <c r="M31" s="10" t="n">
        <v>3</v>
      </c>
      <c r="N31" s="10" t="s">
        <v>50</v>
      </c>
      <c r="O31" s="10" t="s">
        <v>27</v>
      </c>
      <c r="P31" s="9" t="s">
        <v>171</v>
      </c>
      <c r="Q31" s="9" t="s">
        <v>119</v>
      </c>
    </row>
    <row r="32" customFormat="false" ht="29.25" hidden="false" customHeight="true" outlineLevel="0" collapsed="false">
      <c r="A32" s="4" t="n">
        <f aca="false">RANK(E32,$E$5:$E$38,0)+COUNTIFS($E$5:$E$38,E32,$B$5:$B$38,"&lt;"&amp;B32)</f>
        <v>28</v>
      </c>
      <c r="B32" s="5" t="s">
        <v>172</v>
      </c>
      <c r="C32" s="6" t="s">
        <v>173</v>
      </c>
      <c r="D32" s="7" t="s">
        <v>39</v>
      </c>
      <c r="E32" s="8" t="n">
        <f aca="false">IF(SUM('Веса и шкалы'!$C$6:$C$11)=0,0,ROUND(100*('Веса и шкалы'!$C$6*L32/5+'Веса и шкалы'!$C$7*M32/5+'Веса и шкалы'!$C$8*INDEX('Веса и шкалы'!$B$16:$B$19,MATCH(N32,'Веса и шкалы'!$A$16:$A$19,0))+'Веса и шкалы'!$C$9*(6-H32)/5+'Веса и шкалы'!$C$10*(4-I32)/3+'Веса и шкалы'!$C$11*INDEX('Веса и шкалы'!$B$23:$B$25,MATCH(O32,'Веса и шкалы'!$A$23:$A$25,0)))/SUM('Веса и шкалы'!$C$6:$C$11),0))</f>
        <v>62</v>
      </c>
      <c r="F32" s="9" t="s">
        <v>32</v>
      </c>
      <c r="G32" s="9" t="s">
        <v>174</v>
      </c>
      <c r="H32" s="10" t="n">
        <v>2</v>
      </c>
      <c r="I32" s="10" t="n">
        <v>2</v>
      </c>
      <c r="J32" s="5" t="str">
        <f aca="false">CHOOSE(I32,"до 0,3 млн ₽","0,3–1 млн ₽","1–3 млн ₽","3+ млн ₽")</f>
        <v>0,3–1 млн ₽</v>
      </c>
      <c r="K32" s="5" t="s">
        <v>57</v>
      </c>
      <c r="L32" s="10" t="n">
        <v>3</v>
      </c>
      <c r="M32" s="10" t="n">
        <v>3</v>
      </c>
      <c r="N32" s="10" t="s">
        <v>43</v>
      </c>
      <c r="O32" s="10" t="s">
        <v>27</v>
      </c>
      <c r="P32" s="9" t="s">
        <v>175</v>
      </c>
      <c r="Q32" s="9" t="s">
        <v>52</v>
      </c>
    </row>
    <row r="33" customFormat="false" ht="29.25" hidden="false" customHeight="true" outlineLevel="0" collapsed="false">
      <c r="A33" s="4" t="n">
        <f aca="false">RANK(E33,$E$5:$E$38,0)+COUNTIFS($E$5:$E$38,E33,$B$5:$B$38,"&lt;"&amp;B33)</f>
        <v>29</v>
      </c>
      <c r="B33" s="5" t="s">
        <v>176</v>
      </c>
      <c r="C33" s="6" t="s">
        <v>177</v>
      </c>
      <c r="D33" s="7" t="s">
        <v>39</v>
      </c>
      <c r="E33" s="8" t="n">
        <f aca="false">IF(SUM('Веса и шкалы'!$C$6:$C$11)=0,0,ROUND(100*('Веса и шкалы'!$C$6*L33/5+'Веса и шкалы'!$C$7*M33/5+'Веса и шкалы'!$C$8*INDEX('Веса и шкалы'!$B$16:$B$19,MATCH(N33,'Веса и шкалы'!$A$16:$A$19,0))+'Веса и шкалы'!$C$9*(6-H33)/5+'Веса и шкалы'!$C$10*(4-I33)/3+'Веса и шкалы'!$C$11*INDEX('Веса и шкалы'!$B$23:$B$25,MATCH(O33,'Веса и шкалы'!$A$23:$A$25,0)))/SUM('Веса и шкалы'!$C$6:$C$11),0))</f>
        <v>62</v>
      </c>
      <c r="F33" s="9" t="s">
        <v>32</v>
      </c>
      <c r="G33" s="9" t="s">
        <v>178</v>
      </c>
      <c r="H33" s="10" t="n">
        <v>3</v>
      </c>
      <c r="I33" s="10" t="n">
        <v>2</v>
      </c>
      <c r="J33" s="5" t="str">
        <f aca="false">CHOOSE(I33,"до 0,3 млн ₽","0,3–1 млн ₽","1–3 млн ₽","3+ млн ₽")</f>
        <v>0,3–1 млн ₽</v>
      </c>
      <c r="K33" s="5" t="s">
        <v>25</v>
      </c>
      <c r="L33" s="10" t="n">
        <v>2</v>
      </c>
      <c r="M33" s="10" t="n">
        <v>4</v>
      </c>
      <c r="N33" s="10" t="s">
        <v>43</v>
      </c>
      <c r="O33" s="10" t="s">
        <v>34</v>
      </c>
      <c r="P33" s="9" t="s">
        <v>179</v>
      </c>
      <c r="Q33" s="9" t="s">
        <v>36</v>
      </c>
    </row>
    <row r="34" customFormat="false" ht="29.25" hidden="false" customHeight="true" outlineLevel="0" collapsed="false">
      <c r="A34" s="4" t="n">
        <f aca="false">RANK(E34,$E$5:$E$38,0)+COUNTIFS($E$5:$E$38,E34,$B$5:$B$38,"&lt;"&amp;B34)</f>
        <v>30</v>
      </c>
      <c r="B34" s="5" t="s">
        <v>180</v>
      </c>
      <c r="C34" s="6" t="s">
        <v>181</v>
      </c>
      <c r="D34" s="7" t="s">
        <v>39</v>
      </c>
      <c r="E34" s="8" t="n">
        <f aca="false">IF(SUM('Веса и шкалы'!$C$6:$C$11)=0,0,ROUND(100*('Веса и шкалы'!$C$6*L34/5+'Веса и шкалы'!$C$7*M34/5+'Веса и шкалы'!$C$8*INDEX('Веса и шкалы'!$B$16:$B$19,MATCH(N34,'Веса и шкалы'!$A$16:$A$19,0))+'Веса и шкалы'!$C$9*(6-H34)/5+'Веса и шкалы'!$C$10*(4-I34)/3+'Веса и шкалы'!$C$11*INDEX('Веса и шкалы'!$B$23:$B$25,MATCH(O34,'Веса и шкалы'!$A$23:$A$25,0)))/SUM('Веса и шкалы'!$C$6:$C$11),0))</f>
        <v>62</v>
      </c>
      <c r="F34" s="9" t="s">
        <v>134</v>
      </c>
      <c r="G34" s="9" t="s">
        <v>182</v>
      </c>
      <c r="H34" s="10" t="n">
        <v>2</v>
      </c>
      <c r="I34" s="10" t="n">
        <v>2</v>
      </c>
      <c r="J34" s="5" t="str">
        <f aca="false">CHOOSE(I34,"до 0,3 млн ₽","0,3–1 млн ₽","1–3 млн ₽","3+ млн ₽")</f>
        <v>0,3–1 млн ₽</v>
      </c>
      <c r="K34" s="5" t="s">
        <v>57</v>
      </c>
      <c r="L34" s="10" t="n">
        <v>2</v>
      </c>
      <c r="M34" s="10" t="n">
        <v>3</v>
      </c>
      <c r="N34" s="10" t="s">
        <v>50</v>
      </c>
      <c r="O34" s="10" t="s">
        <v>27</v>
      </c>
      <c r="P34" s="9" t="s">
        <v>183</v>
      </c>
      <c r="Q34" s="9" t="s">
        <v>184</v>
      </c>
    </row>
    <row r="35" customFormat="false" ht="29.25" hidden="false" customHeight="true" outlineLevel="0" collapsed="false">
      <c r="A35" s="4" t="n">
        <f aca="false">RANK(E35,$E$5:$E$38,0)+COUNTIFS($E$5:$E$38,E35,$B$5:$B$38,"&lt;"&amp;B35)</f>
        <v>31</v>
      </c>
      <c r="B35" s="5" t="s">
        <v>185</v>
      </c>
      <c r="C35" s="6" t="s">
        <v>186</v>
      </c>
      <c r="D35" s="7" t="s">
        <v>39</v>
      </c>
      <c r="E35" s="8" t="n">
        <f aca="false">IF(SUM('Веса и шкалы'!$C$6:$C$11)=0,0,ROUND(100*('Веса и шкалы'!$C$6*L35/5+'Веса и шкалы'!$C$7*M35/5+'Веса и шкалы'!$C$8*INDEX('Веса и шкалы'!$B$16:$B$19,MATCH(N35,'Веса и шкалы'!$A$16:$A$19,0))+'Веса и шкалы'!$C$9*(6-H35)/5+'Веса и шкалы'!$C$10*(4-I35)/3+'Веса и шкалы'!$C$11*INDEX('Веса и шкалы'!$B$23:$B$25,MATCH(O35,'Веса и шкалы'!$A$23:$A$25,0)))/SUM('Веса и шкалы'!$C$6:$C$11),0))</f>
        <v>62</v>
      </c>
      <c r="F35" s="9" t="s">
        <v>91</v>
      </c>
      <c r="G35" s="9" t="s">
        <v>187</v>
      </c>
      <c r="H35" s="10" t="n">
        <v>4</v>
      </c>
      <c r="I35" s="10" t="n">
        <v>3</v>
      </c>
      <c r="J35" s="5" t="str">
        <f aca="false">CHOOSE(I35,"до 0,3 млн ₽","0,3–1 млн ₽","1–3 млн ₽","3+ млн ₽")</f>
        <v>1–3 млн ₽</v>
      </c>
      <c r="K35" s="5" t="s">
        <v>188</v>
      </c>
      <c r="L35" s="10" t="n">
        <v>4</v>
      </c>
      <c r="M35" s="10" t="n">
        <v>3</v>
      </c>
      <c r="N35" s="10" t="s">
        <v>50</v>
      </c>
      <c r="O35" s="10" t="s">
        <v>27</v>
      </c>
      <c r="P35" s="9" t="s">
        <v>107</v>
      </c>
      <c r="Q35" s="9" t="s">
        <v>152</v>
      </c>
    </row>
    <row r="36" customFormat="false" ht="16.5" hidden="false" customHeight="true" outlineLevel="0" collapsed="false">
      <c r="A36" s="4" t="n">
        <f aca="false">RANK(E36,$E$5:$E$38,0)+COUNTIFS($E$5:$E$38,E36,$B$5:$B$38,"&lt;"&amp;B36)</f>
        <v>32</v>
      </c>
      <c r="B36" s="5" t="s">
        <v>189</v>
      </c>
      <c r="C36" s="6" t="s">
        <v>190</v>
      </c>
      <c r="D36" s="7" t="s">
        <v>39</v>
      </c>
      <c r="E36" s="8" t="n">
        <f aca="false">IF(SUM('Веса и шкалы'!$C$6:$C$11)=0,0,ROUND(100*('Веса и шкалы'!$C$6*L36/5+'Веса и шкалы'!$C$7*M36/5+'Веса и шкалы'!$C$8*INDEX('Веса и шкалы'!$B$16:$B$19,MATCH(N36,'Веса и шкалы'!$A$16:$A$19,0))+'Веса и шкалы'!$C$9*(6-H36)/5+'Веса и шкалы'!$C$10*(4-I36)/3+'Веса и шкалы'!$C$11*INDEX('Веса и шкалы'!$B$23:$B$25,MATCH(O36,'Веса и шкалы'!$A$23:$A$25,0)))/SUM('Веса и шкалы'!$C$6:$C$11),0))</f>
        <v>59</v>
      </c>
      <c r="F36" s="9" t="s">
        <v>91</v>
      </c>
      <c r="G36" s="9" t="s">
        <v>191</v>
      </c>
      <c r="H36" s="10" t="n">
        <v>3</v>
      </c>
      <c r="I36" s="10" t="n">
        <v>3</v>
      </c>
      <c r="J36" s="5" t="str">
        <f aca="false">CHOOSE(I36,"до 0,3 млн ₽","0,3–1 млн ₽","1–3 млн ₽","3+ млн ₽")</f>
        <v>1–3 млн ₽</v>
      </c>
      <c r="K36" s="5" t="s">
        <v>112</v>
      </c>
      <c r="L36" s="10" t="n">
        <v>3</v>
      </c>
      <c r="M36" s="10" t="n">
        <v>3</v>
      </c>
      <c r="N36" s="10" t="s">
        <v>43</v>
      </c>
      <c r="O36" s="10" t="s">
        <v>34</v>
      </c>
      <c r="P36" s="9" t="s">
        <v>192</v>
      </c>
      <c r="Q36" s="9" t="s">
        <v>193</v>
      </c>
    </row>
    <row r="37" customFormat="false" ht="16.5" hidden="false" customHeight="true" outlineLevel="0" collapsed="false">
      <c r="A37" s="4" t="n">
        <f aca="false">RANK(E37,$E$5:$E$38,0)+COUNTIFS($E$5:$E$38,E37,$B$5:$B$38,"&lt;"&amp;B37)</f>
        <v>33</v>
      </c>
      <c r="B37" s="5" t="s">
        <v>194</v>
      </c>
      <c r="C37" s="6" t="s">
        <v>195</v>
      </c>
      <c r="D37" s="7" t="s">
        <v>39</v>
      </c>
      <c r="E37" s="8" t="n">
        <f aca="false">IF(SUM('Веса и шкалы'!$C$6:$C$11)=0,0,ROUND(100*('Веса и шкалы'!$C$6*L37/5+'Веса и шкалы'!$C$7*M37/5+'Веса и шкалы'!$C$8*INDEX('Веса и шкалы'!$B$16:$B$19,MATCH(N37,'Веса и шкалы'!$A$16:$A$19,0))+'Веса и шкалы'!$C$9*(6-H37)/5+'Веса и шкалы'!$C$10*(4-I37)/3+'Веса и шкалы'!$C$11*INDEX('Веса и шкалы'!$B$23:$B$25,MATCH(O37,'Веса и шкалы'!$A$23:$A$25,0)))/SUM('Веса и шкалы'!$C$6:$C$11),0))</f>
        <v>57</v>
      </c>
      <c r="F37" s="9" t="s">
        <v>91</v>
      </c>
      <c r="G37" s="9" t="s">
        <v>196</v>
      </c>
      <c r="H37" s="10" t="n">
        <v>2</v>
      </c>
      <c r="I37" s="10" t="n">
        <v>2</v>
      </c>
      <c r="J37" s="5" t="str">
        <f aca="false">CHOOSE(I37,"до 0,3 млн ₽","0,3–1 млн ₽","1–3 млн ₽","3+ млн ₽")</f>
        <v>0,3–1 млн ₽</v>
      </c>
      <c r="K37" s="5" t="s">
        <v>57</v>
      </c>
      <c r="L37" s="10" t="n">
        <v>2</v>
      </c>
      <c r="M37" s="10" t="n">
        <v>3</v>
      </c>
      <c r="N37" s="10" t="s">
        <v>43</v>
      </c>
      <c r="O37" s="10" t="s">
        <v>27</v>
      </c>
      <c r="P37" s="9" t="s">
        <v>197</v>
      </c>
      <c r="Q37" s="9" t="s">
        <v>52</v>
      </c>
    </row>
    <row r="38" customFormat="false" ht="29.25" hidden="false" customHeight="true" outlineLevel="0" collapsed="false">
      <c r="A38" s="4" t="n">
        <f aca="false">RANK(E38,$E$5:$E$38,0)+COUNTIFS($E$5:$E$38,E38,$B$5:$B$38,"&lt;"&amp;B38)</f>
        <v>34</v>
      </c>
      <c r="B38" s="5" t="s">
        <v>198</v>
      </c>
      <c r="C38" s="6" t="s">
        <v>199</v>
      </c>
      <c r="D38" s="7" t="s">
        <v>39</v>
      </c>
      <c r="E38" s="8" t="n">
        <f aca="false">IF(SUM('Веса и шкалы'!$C$6:$C$11)=0,0,ROUND(100*('Веса и шкалы'!$C$6*L38/5+'Веса и шкалы'!$C$7*M38/5+'Веса и шкалы'!$C$8*INDEX('Веса и шкалы'!$B$16:$B$19,MATCH(N38,'Веса и шкалы'!$A$16:$A$19,0))+'Веса и шкалы'!$C$9*(6-H38)/5+'Веса и шкалы'!$C$10*(4-I38)/3+'Веса и шкалы'!$C$11*INDEX('Веса и шкалы'!$B$23:$B$25,MATCH(O38,'Веса и шкалы'!$A$23:$A$25,0)))/SUM('Веса и шкалы'!$C$6:$C$11),0))</f>
        <v>57</v>
      </c>
      <c r="F38" s="9" t="s">
        <v>144</v>
      </c>
      <c r="G38" s="9" t="s">
        <v>200</v>
      </c>
      <c r="H38" s="10" t="n">
        <v>4</v>
      </c>
      <c r="I38" s="10" t="n">
        <v>3</v>
      </c>
      <c r="J38" s="5" t="str">
        <f aca="false">CHOOSE(I38,"до 0,3 млн ₽","0,3–1 млн ₽","1–3 млн ₽","3+ млн ₽")</f>
        <v>1–3 млн ₽</v>
      </c>
      <c r="K38" s="5" t="s">
        <v>129</v>
      </c>
      <c r="L38" s="10" t="n">
        <v>4</v>
      </c>
      <c r="M38" s="10" t="n">
        <v>3</v>
      </c>
      <c r="N38" s="10" t="s">
        <v>43</v>
      </c>
      <c r="O38" s="10" t="s">
        <v>27</v>
      </c>
      <c r="P38" s="9" t="s">
        <v>161</v>
      </c>
      <c r="Q38" s="9" t="s">
        <v>201</v>
      </c>
    </row>
  </sheetData>
  <autoFilter ref="A4:Q38"/>
  <conditionalFormatting sqref="E5:E38">
    <cfRule type="colorScale" priority="2">
      <colorScale>
        <cfvo type="min" val="0"/>
        <cfvo type="max" val="0"/>
        <color rgb="FFFFFFFF"/>
        <color rgb="FF63BE7B"/>
      </colorScale>
    </cfRule>
  </conditionalFormatting>
  <conditionalFormatting sqref="L5:L38">
    <cfRule type="colorScale" priority="3">
      <colorScale>
        <cfvo type="num" val="1"/>
        <cfvo type="num" val="5"/>
        <color rgb="FFFFFFFF"/>
        <color rgb="FF63BE7B"/>
      </colorScale>
    </cfRule>
  </conditionalFormatting>
  <conditionalFormatting sqref="M5:M38">
    <cfRule type="colorScale" priority="4">
      <colorScale>
        <cfvo type="num" val="1"/>
        <cfvo type="num" val="5"/>
        <color rgb="FFFFFFFF"/>
        <color rgb="FF63BE7B"/>
      </colorScale>
    </cfRule>
  </conditionalFormatting>
  <conditionalFormatting sqref="H5:H38">
    <cfRule type="colorScale" priority="5">
      <colorScale>
        <cfvo type="num" val="1"/>
        <cfvo type="num" val="5"/>
        <color rgb="FFFFFFFF"/>
        <color rgb="FFF8A86B"/>
      </colorScale>
    </cfRule>
  </conditionalFormatting>
  <conditionalFormatting sqref="I5:I38">
    <cfRule type="colorScale" priority="6">
      <colorScale>
        <cfvo type="num" val="1"/>
        <cfvo type="num" val="4"/>
        <color rgb="FFFFFFFF"/>
        <color rgb="FFF8A86B"/>
      </colorScale>
    </cfRule>
  </conditionalFormatting>
  <conditionalFormatting sqref="N5:N38">
    <cfRule type="cellIs" priority="7" operator="equal" aboveAverage="0" equalAverage="0" bottom="0" percent="0" rank="0" text="" dxfId="35">
      <formula>"Нет"</formula>
    </cfRule>
    <cfRule type="cellIs" priority="8" operator="equal" aboveAverage="0" equalAverage="0" bottom="0" percent="0" rank="0" text="" dxfId="35">
      <formula>"Низкая"</formula>
    </cfRule>
    <cfRule type="cellIs" priority="9" operator="equal" aboveAverage="0" equalAverage="0" bottom="0" percent="0" rank="0" text="" dxfId="36">
      <formula>"Средняя"</formula>
    </cfRule>
    <cfRule type="cellIs" priority="10" operator="equal" aboveAverage="0" equalAverage="0" bottom="0" percent="0" rank="0" text="" dxfId="37">
      <formula>"Высокая"</formula>
    </cfRule>
  </conditionalFormatting>
  <conditionalFormatting sqref="O5:O38">
    <cfRule type="cellIs" priority="11" operator="equal" aboveAverage="0" equalAverage="0" bottom="0" percent="0" rank="0" text="" dxfId="35">
      <formula>"Низкий"</formula>
    </cfRule>
    <cfRule type="cellIs" priority="12" operator="equal" aboveAverage="0" equalAverage="0" bottom="0" percent="0" rank="0" text="" dxfId="36">
      <formula>"Средний"</formula>
    </cfRule>
    <cfRule type="cellIs" priority="13" operator="equal" aboveAverage="0" equalAverage="0" bottom="0" percent="0" rank="0" text="" dxfId="37">
      <formula>"Высокий"</formula>
    </cfRule>
  </conditionalFormatting>
  <conditionalFormatting sqref="D5:D38">
    <cfRule type="cellIs" priority="14" operator="equal" aboveAverage="0" equalAverage="0" bottom="0" percent="0" rank="0" text="" dxfId="38">
      <formula>"Новое"</formula>
    </cfRule>
  </conditionalFormatting>
  <dataValidations count="5">
    <dataValidation allowBlank="false" error="Выберите значение из списка или шкалы" errorStyle="stop" operator="between" showDropDown="false" showErrorMessage="true" showInputMessage="false" sqref="D5:D38" type="list">
      <formula1>"Есть в мире,Новое"</formula1>
      <formula2>0</formula2>
    </dataValidation>
    <dataValidation allowBlank="false" error="Выберите значение из списка или шкалы" errorStyle="stop" operator="between" showDropDown="false" showErrorMessage="true" showInputMessage="false" sqref="H5:H38 L5:M38" type="whole">
      <formula1>1</formula1>
      <formula2>5</formula2>
    </dataValidation>
    <dataValidation allowBlank="false" error="Выберите значение из списка или шкалы" errorStyle="stop" operator="between" showDropDown="false" showErrorMessage="true" showInputMessage="false" sqref="I5:I38" type="whole">
      <formula1>1</formula1>
      <formula2>4</formula2>
    </dataValidation>
    <dataValidation allowBlank="false" error="Выберите значение из списка или шкалы" errorStyle="stop" operator="between" showDropDown="false" showErrorMessage="true" showInputMessage="false" sqref="N5:N38" type="list">
      <formula1>"Нет,Низкая,Средняя,Высокая"</formula1>
      <formula2>0</formula2>
    </dataValidation>
    <dataValidation allowBlank="false" error="Выберите значение из списка или шкалы" errorStyle="stop" operator="between" showDropDown="false" showErrorMessage="true" showInputMessage="false" sqref="O5:O38" type="list">
      <formula1>"Низкий,Средний,Высокий"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6" min="6" style="0" width="22"/>
    <col collapsed="false" customWidth="true" hidden="false" outlineLevel="0" max="7" min="7" style="0" width="28"/>
    <col collapsed="false" customWidth="true" hidden="false" outlineLevel="0" max="8" min="8" style="0" width="46"/>
    <col collapsed="false" customWidth="true" hidden="false" outlineLevel="0" max="9" min="9" style="0" width="34"/>
    <col collapsed="false" customWidth="true" hidden="false" outlineLevel="0" max="10" min="10" style="0" width="46"/>
    <col collapsed="false" customWidth="true" hidden="false" outlineLevel="0" max="12" min="11" style="0" width="40"/>
    <col collapsed="false" customWidth="true" hidden="false" outlineLevel="0" max="14" min="13" style="0" width="38"/>
    <col collapsed="false" customWidth="true" hidden="false" outlineLevel="0" max="15" min="15" style="0" width="40"/>
  </cols>
  <sheetData>
    <row r="1" customFormat="false" ht="30" hidden="false" customHeight="true" outlineLevel="0" collapsed="false">
      <c r="A1" s="3" t="s">
        <v>4</v>
      </c>
      <c r="B1" s="3" t="s">
        <v>5</v>
      </c>
      <c r="C1" s="3" t="s">
        <v>6</v>
      </c>
      <c r="D1" s="3" t="s">
        <v>3</v>
      </c>
      <c r="E1" s="3" t="s">
        <v>202</v>
      </c>
      <c r="F1" s="3" t="s">
        <v>9</v>
      </c>
      <c r="G1" s="3" t="s">
        <v>203</v>
      </c>
      <c r="H1" s="3" t="s">
        <v>204</v>
      </c>
      <c r="I1" s="3" t="s">
        <v>205</v>
      </c>
      <c r="J1" s="3" t="s">
        <v>206</v>
      </c>
      <c r="K1" s="3" t="s">
        <v>207</v>
      </c>
      <c r="L1" s="3" t="s">
        <v>208</v>
      </c>
      <c r="M1" s="3" t="s">
        <v>209</v>
      </c>
      <c r="N1" s="3" t="s">
        <v>210</v>
      </c>
      <c r="O1" s="3" t="s">
        <v>211</v>
      </c>
    </row>
    <row r="2" customFormat="false" ht="118.5" hidden="false" customHeight="true" outlineLevel="0" collapsed="false">
      <c r="A2" s="4" t="s">
        <v>37</v>
      </c>
      <c r="B2" s="6" t="s">
        <v>38</v>
      </c>
      <c r="C2" s="11" t="str">
        <f aca="false">INDEX(Сводная!$D$5:$D$38,MATCH(A2,Сводная!$B$5:$B$38,0))</f>
        <v>Есть в мире</v>
      </c>
      <c r="D2" s="11" t="n">
        <f aca="false">INDEX(Сводная!$A$5:$A$38,MATCH(A2,Сводная!$B$5:$B$38,0))</f>
        <v>3</v>
      </c>
      <c r="E2" s="11" t="n">
        <f aca="false">INDEX(Сводная!$E$5:$E$38,MATCH(A2,Сводная!$B$5:$B$38,0))</f>
        <v>76</v>
      </c>
      <c r="F2" s="9" t="s">
        <v>41</v>
      </c>
      <c r="G2" s="9" t="s">
        <v>212</v>
      </c>
      <c r="H2" s="9" t="s">
        <v>213</v>
      </c>
      <c r="I2" s="9" t="s">
        <v>214</v>
      </c>
      <c r="J2" s="9" t="s">
        <v>215</v>
      </c>
      <c r="K2" s="9" t="s">
        <v>216</v>
      </c>
      <c r="L2" s="9" t="s">
        <v>217</v>
      </c>
      <c r="M2" s="9" t="s">
        <v>218</v>
      </c>
      <c r="N2" s="9" t="s">
        <v>219</v>
      </c>
      <c r="O2" s="12" t="s">
        <v>220</v>
      </c>
    </row>
    <row r="3" customFormat="false" ht="93" hidden="false" customHeight="true" outlineLevel="0" collapsed="false">
      <c r="A3" s="4" t="s">
        <v>80</v>
      </c>
      <c r="B3" s="6" t="s">
        <v>81</v>
      </c>
      <c r="C3" s="11" t="str">
        <f aca="false">INDEX(Сводная!$D$5:$D$38,MATCH(A3,Сводная!$B$5:$B$38,0))</f>
        <v>Есть в мире</v>
      </c>
      <c r="D3" s="11" t="n">
        <f aca="false">INDEX(Сводная!$A$5:$A$38,MATCH(A3,Сводная!$B$5:$B$38,0))</f>
        <v>10</v>
      </c>
      <c r="E3" s="11" t="n">
        <f aca="false">INDEX(Сводная!$E$5:$E$38,MATCH(A3,Сводная!$B$5:$B$38,0))</f>
        <v>71</v>
      </c>
      <c r="F3" s="9" t="s">
        <v>82</v>
      </c>
      <c r="G3" s="9" t="s">
        <v>82</v>
      </c>
      <c r="H3" s="9" t="s">
        <v>221</v>
      </c>
      <c r="I3" s="9" t="s">
        <v>222</v>
      </c>
      <c r="J3" s="9" t="s">
        <v>223</v>
      </c>
      <c r="K3" s="9" t="s">
        <v>224</v>
      </c>
      <c r="L3" s="9" t="s">
        <v>225</v>
      </c>
      <c r="M3" s="9" t="s">
        <v>226</v>
      </c>
      <c r="N3" s="9" t="s">
        <v>227</v>
      </c>
      <c r="O3" s="12" t="s">
        <v>228</v>
      </c>
    </row>
    <row r="4" customFormat="false" ht="93" hidden="false" customHeight="true" outlineLevel="0" collapsed="false">
      <c r="A4" s="4" t="s">
        <v>64</v>
      </c>
      <c r="B4" s="6" t="s">
        <v>65</v>
      </c>
      <c r="C4" s="11" t="str">
        <f aca="false">INDEX(Сводная!$D$5:$D$38,MATCH(A4,Сводная!$B$5:$B$38,0))</f>
        <v>Есть в мире</v>
      </c>
      <c r="D4" s="11" t="n">
        <f aca="false">INDEX(Сводная!$A$5:$A$38,MATCH(A4,Сводная!$B$5:$B$38,0))</f>
        <v>7</v>
      </c>
      <c r="E4" s="11" t="n">
        <f aca="false">INDEX(Сводная!$E$5:$E$38,MATCH(A4,Сводная!$B$5:$B$38,0))</f>
        <v>72</v>
      </c>
      <c r="F4" s="9" t="s">
        <v>66</v>
      </c>
      <c r="G4" s="9" t="s">
        <v>229</v>
      </c>
      <c r="H4" s="9" t="s">
        <v>230</v>
      </c>
      <c r="I4" s="9" t="s">
        <v>231</v>
      </c>
      <c r="J4" s="9" t="s">
        <v>232</v>
      </c>
      <c r="K4" s="9" t="s">
        <v>233</v>
      </c>
      <c r="L4" s="9" t="s">
        <v>234</v>
      </c>
      <c r="M4" s="9" t="s">
        <v>235</v>
      </c>
      <c r="N4" s="9" t="s">
        <v>236</v>
      </c>
      <c r="O4" s="12" t="s">
        <v>237</v>
      </c>
    </row>
    <row r="5" customFormat="false" ht="80.25" hidden="false" customHeight="true" outlineLevel="0" collapsed="false">
      <c r="A5" s="4" t="s">
        <v>168</v>
      </c>
      <c r="B5" s="6" t="s">
        <v>169</v>
      </c>
      <c r="C5" s="11" t="str">
        <f aca="false">INDEX(Сводная!$D$5:$D$38,MATCH(A5,Сводная!$B$5:$B$38,0))</f>
        <v>Есть в мире</v>
      </c>
      <c r="D5" s="11" t="n">
        <f aca="false">INDEX(Сводная!$A$5:$A$38,MATCH(A5,Сводная!$B$5:$B$38,0))</f>
        <v>27</v>
      </c>
      <c r="E5" s="11" t="n">
        <f aca="false">INDEX(Сводная!$E$5:$E$38,MATCH(A5,Сводная!$B$5:$B$38,0))</f>
        <v>62</v>
      </c>
      <c r="F5" s="9" t="s">
        <v>170</v>
      </c>
      <c r="G5" s="9" t="s">
        <v>170</v>
      </c>
      <c r="H5" s="9" t="s">
        <v>238</v>
      </c>
      <c r="I5" s="9" t="s">
        <v>239</v>
      </c>
      <c r="J5" s="9" t="s">
        <v>240</v>
      </c>
      <c r="K5" s="9" t="s">
        <v>241</v>
      </c>
      <c r="L5" s="9" t="s">
        <v>242</v>
      </c>
      <c r="M5" s="9" t="s">
        <v>243</v>
      </c>
      <c r="N5" s="9" t="s">
        <v>244</v>
      </c>
      <c r="O5" s="12" t="s">
        <v>245</v>
      </c>
    </row>
    <row r="6" customFormat="false" ht="93" hidden="false" customHeight="true" outlineLevel="0" collapsed="false">
      <c r="A6" s="4" t="s">
        <v>126</v>
      </c>
      <c r="B6" s="6" t="s">
        <v>127</v>
      </c>
      <c r="C6" s="11" t="str">
        <f aca="false">INDEX(Сводная!$D$5:$D$38,MATCH(A6,Сводная!$B$5:$B$38,0))</f>
        <v>Есть в мире</v>
      </c>
      <c r="D6" s="11" t="n">
        <f aca="false">INDEX(Сводная!$A$5:$A$38,MATCH(A6,Сводная!$B$5:$B$38,0))</f>
        <v>19</v>
      </c>
      <c r="E6" s="11" t="n">
        <f aca="false">INDEX(Сводная!$E$5:$E$38,MATCH(A6,Сводная!$B$5:$B$38,0))</f>
        <v>68</v>
      </c>
      <c r="F6" s="9" t="s">
        <v>128</v>
      </c>
      <c r="G6" s="9" t="s">
        <v>246</v>
      </c>
      <c r="H6" s="9" t="s">
        <v>247</v>
      </c>
      <c r="I6" s="9" t="s">
        <v>248</v>
      </c>
      <c r="J6" s="9" t="s">
        <v>249</v>
      </c>
      <c r="K6" s="9" t="s">
        <v>250</v>
      </c>
      <c r="L6" s="9" t="s">
        <v>251</v>
      </c>
      <c r="M6" s="9" t="s">
        <v>252</v>
      </c>
      <c r="N6" s="9" t="s">
        <v>253</v>
      </c>
      <c r="O6" s="12" t="s">
        <v>237</v>
      </c>
    </row>
    <row r="7" customFormat="false" ht="67.5" hidden="false" customHeight="true" outlineLevel="0" collapsed="false">
      <c r="A7" s="4" t="s">
        <v>103</v>
      </c>
      <c r="B7" s="6" t="s">
        <v>104</v>
      </c>
      <c r="C7" s="11" t="str">
        <f aca="false">INDEX(Сводная!$D$5:$D$38,MATCH(A7,Сводная!$B$5:$B$38,0))</f>
        <v>Есть в мире</v>
      </c>
      <c r="D7" s="11" t="n">
        <f aca="false">INDEX(Сводная!$A$5:$A$38,MATCH(A7,Сводная!$B$5:$B$38,0))</f>
        <v>15</v>
      </c>
      <c r="E7" s="11" t="n">
        <f aca="false">INDEX(Сводная!$E$5:$E$38,MATCH(A7,Сводная!$B$5:$B$38,0))</f>
        <v>70</v>
      </c>
      <c r="F7" s="9" t="s">
        <v>106</v>
      </c>
      <c r="G7" s="9" t="s">
        <v>254</v>
      </c>
      <c r="H7" s="9" t="s">
        <v>255</v>
      </c>
      <c r="I7" s="9" t="s">
        <v>256</v>
      </c>
      <c r="J7" s="9" t="s">
        <v>257</v>
      </c>
      <c r="K7" s="9" t="s">
        <v>258</v>
      </c>
      <c r="L7" s="9" t="s">
        <v>259</v>
      </c>
      <c r="M7" s="9" t="s">
        <v>260</v>
      </c>
      <c r="N7" s="9" t="s">
        <v>261</v>
      </c>
      <c r="O7" s="12" t="s">
        <v>262</v>
      </c>
    </row>
    <row r="8" customFormat="false" ht="67.5" hidden="false" customHeight="true" outlineLevel="0" collapsed="false">
      <c r="A8" s="4" t="s">
        <v>137</v>
      </c>
      <c r="B8" s="6" t="s">
        <v>138</v>
      </c>
      <c r="C8" s="11" t="str">
        <f aca="false">INDEX(Сводная!$D$5:$D$38,MATCH(A8,Сводная!$B$5:$B$38,0))</f>
        <v>Есть в мире</v>
      </c>
      <c r="D8" s="11" t="n">
        <f aca="false">INDEX(Сводная!$A$5:$A$38,MATCH(A8,Сводная!$B$5:$B$38,0))</f>
        <v>21</v>
      </c>
      <c r="E8" s="11" t="n">
        <f aca="false">INDEX(Сводная!$E$5:$E$38,MATCH(A8,Сводная!$B$5:$B$38,0))</f>
        <v>67</v>
      </c>
      <c r="F8" s="9" t="s">
        <v>139</v>
      </c>
      <c r="G8" s="9" t="s">
        <v>263</v>
      </c>
      <c r="H8" s="9" t="s">
        <v>264</v>
      </c>
      <c r="I8" s="9" t="s">
        <v>265</v>
      </c>
      <c r="J8" s="9" t="s">
        <v>266</v>
      </c>
      <c r="K8" s="9" t="s">
        <v>267</v>
      </c>
      <c r="L8" s="9" t="s">
        <v>268</v>
      </c>
      <c r="M8" s="9" t="s">
        <v>269</v>
      </c>
      <c r="N8" s="9" t="s">
        <v>270</v>
      </c>
      <c r="O8" s="12" t="s">
        <v>271</v>
      </c>
    </row>
    <row r="9" customFormat="false" ht="93" hidden="false" customHeight="true" outlineLevel="0" collapsed="false">
      <c r="A9" s="4" t="s">
        <v>85</v>
      </c>
      <c r="B9" s="6" t="s">
        <v>86</v>
      </c>
      <c r="C9" s="11" t="str">
        <f aca="false">INDEX(Сводная!$D$5:$D$38,MATCH(A9,Сводная!$B$5:$B$38,0))</f>
        <v>Есть в мире</v>
      </c>
      <c r="D9" s="11" t="n">
        <f aca="false">INDEX(Сводная!$A$5:$A$38,MATCH(A9,Сводная!$B$5:$B$38,0))</f>
        <v>11</v>
      </c>
      <c r="E9" s="11" t="n">
        <f aca="false">INDEX(Сводная!$E$5:$E$38,MATCH(A9,Сводная!$B$5:$B$38,0))</f>
        <v>71</v>
      </c>
      <c r="F9" s="9" t="s">
        <v>87</v>
      </c>
      <c r="G9" s="9" t="s">
        <v>272</v>
      </c>
      <c r="H9" s="9" t="s">
        <v>273</v>
      </c>
      <c r="I9" s="9" t="s">
        <v>274</v>
      </c>
      <c r="J9" s="9" t="s">
        <v>275</v>
      </c>
      <c r="K9" s="9" t="s">
        <v>276</v>
      </c>
      <c r="L9" s="9" t="s">
        <v>277</v>
      </c>
      <c r="M9" s="9" t="s">
        <v>278</v>
      </c>
      <c r="N9" s="9" t="s">
        <v>279</v>
      </c>
      <c r="O9" s="12" t="s">
        <v>280</v>
      </c>
    </row>
    <row r="10" customFormat="false" ht="105" hidden="false" customHeight="true" outlineLevel="0" collapsed="false">
      <c r="A10" s="4" t="s">
        <v>109</v>
      </c>
      <c r="B10" s="6" t="s">
        <v>110</v>
      </c>
      <c r="C10" s="11" t="str">
        <f aca="false">INDEX(Сводная!$D$5:$D$38,MATCH(A10,Сводная!$B$5:$B$38,0))</f>
        <v>Есть в мире</v>
      </c>
      <c r="D10" s="11" t="n">
        <f aca="false">INDEX(Сводная!$A$5:$A$38,MATCH(A10,Сводная!$B$5:$B$38,0))</f>
        <v>16</v>
      </c>
      <c r="E10" s="11" t="n">
        <f aca="false">INDEX(Сводная!$E$5:$E$38,MATCH(A10,Сводная!$B$5:$B$38,0))</f>
        <v>70</v>
      </c>
      <c r="F10" s="9" t="s">
        <v>111</v>
      </c>
      <c r="G10" s="9" t="s">
        <v>281</v>
      </c>
      <c r="H10" s="9" t="s">
        <v>282</v>
      </c>
      <c r="I10" s="9" t="s">
        <v>283</v>
      </c>
      <c r="J10" s="9" t="s">
        <v>284</v>
      </c>
      <c r="K10" s="9" t="s">
        <v>285</v>
      </c>
      <c r="L10" s="9" t="s">
        <v>286</v>
      </c>
      <c r="M10" s="9" t="s">
        <v>287</v>
      </c>
      <c r="N10" s="9" t="s">
        <v>288</v>
      </c>
      <c r="O10" s="12" t="s">
        <v>289</v>
      </c>
    </row>
    <row r="11" customFormat="false" ht="67.5" hidden="false" customHeight="true" outlineLevel="0" collapsed="false">
      <c r="A11" s="4" t="s">
        <v>189</v>
      </c>
      <c r="B11" s="6" t="s">
        <v>190</v>
      </c>
      <c r="C11" s="11" t="str">
        <f aca="false">INDEX(Сводная!$D$5:$D$38,MATCH(A11,Сводная!$B$5:$B$38,0))</f>
        <v>Есть в мире</v>
      </c>
      <c r="D11" s="11" t="n">
        <f aca="false">INDEX(Сводная!$A$5:$A$38,MATCH(A11,Сводная!$B$5:$B$38,0))</f>
        <v>32</v>
      </c>
      <c r="E11" s="11" t="n">
        <f aca="false">INDEX(Сводная!$E$5:$E$38,MATCH(A11,Сводная!$B$5:$B$38,0))</f>
        <v>59</v>
      </c>
      <c r="F11" s="9" t="s">
        <v>191</v>
      </c>
      <c r="G11" s="9" t="s">
        <v>290</v>
      </c>
      <c r="H11" s="9" t="s">
        <v>291</v>
      </c>
      <c r="I11" s="9" t="s">
        <v>292</v>
      </c>
      <c r="J11" s="9" t="s">
        <v>293</v>
      </c>
      <c r="K11" s="9" t="s">
        <v>294</v>
      </c>
      <c r="L11" s="9" t="s">
        <v>295</v>
      </c>
      <c r="M11" s="9" t="s">
        <v>296</v>
      </c>
      <c r="N11" s="9" t="s">
        <v>297</v>
      </c>
      <c r="O11" s="12" t="s">
        <v>298</v>
      </c>
    </row>
    <row r="12" customFormat="false" ht="80.25" hidden="false" customHeight="true" outlineLevel="0" collapsed="false">
      <c r="A12" s="4" t="s">
        <v>89</v>
      </c>
      <c r="B12" s="6" t="s">
        <v>90</v>
      </c>
      <c r="C12" s="11" t="str">
        <f aca="false">INDEX(Сводная!$D$5:$D$38,MATCH(A12,Сводная!$B$5:$B$38,0))</f>
        <v>Есть в мире</v>
      </c>
      <c r="D12" s="11" t="n">
        <f aca="false">INDEX(Сводная!$A$5:$A$38,MATCH(A12,Сводная!$B$5:$B$38,0))</f>
        <v>12</v>
      </c>
      <c r="E12" s="11" t="n">
        <f aca="false">INDEX(Сводная!$E$5:$E$38,MATCH(A12,Сводная!$B$5:$B$38,0))</f>
        <v>71</v>
      </c>
      <c r="F12" s="9" t="s">
        <v>92</v>
      </c>
      <c r="G12" s="9" t="s">
        <v>299</v>
      </c>
      <c r="H12" s="9" t="s">
        <v>300</v>
      </c>
      <c r="I12" s="9" t="s">
        <v>301</v>
      </c>
      <c r="J12" s="9" t="s">
        <v>302</v>
      </c>
      <c r="K12" s="9" t="s">
        <v>303</v>
      </c>
      <c r="L12" s="9" t="s">
        <v>304</v>
      </c>
      <c r="M12" s="9" t="s">
        <v>305</v>
      </c>
      <c r="N12" s="9" t="s">
        <v>306</v>
      </c>
      <c r="O12" s="12" t="s">
        <v>237</v>
      </c>
    </row>
    <row r="13" customFormat="false" ht="80.25" hidden="false" customHeight="true" outlineLevel="0" collapsed="false">
      <c r="A13" s="4" t="s">
        <v>94</v>
      </c>
      <c r="B13" s="6" t="s">
        <v>95</v>
      </c>
      <c r="C13" s="11" t="str">
        <f aca="false">INDEX(Сводная!$D$5:$D$38,MATCH(A13,Сводная!$B$5:$B$38,0))</f>
        <v>Есть в мире</v>
      </c>
      <c r="D13" s="11" t="n">
        <f aca="false">INDEX(Сводная!$A$5:$A$38,MATCH(A13,Сводная!$B$5:$B$38,0))</f>
        <v>13</v>
      </c>
      <c r="E13" s="11" t="n">
        <f aca="false">INDEX(Сводная!$E$5:$E$38,MATCH(A13,Сводная!$B$5:$B$38,0))</f>
        <v>71</v>
      </c>
      <c r="F13" s="9" t="s">
        <v>96</v>
      </c>
      <c r="G13" s="9" t="s">
        <v>307</v>
      </c>
      <c r="H13" s="9" t="s">
        <v>308</v>
      </c>
      <c r="I13" s="9" t="s">
        <v>309</v>
      </c>
      <c r="J13" s="9" t="s">
        <v>310</v>
      </c>
      <c r="K13" s="9" t="s">
        <v>311</v>
      </c>
      <c r="L13" s="9" t="s">
        <v>312</v>
      </c>
      <c r="M13" s="9" t="s">
        <v>313</v>
      </c>
      <c r="N13" s="9" t="s">
        <v>314</v>
      </c>
      <c r="O13" s="12" t="s">
        <v>315</v>
      </c>
    </row>
    <row r="14" customFormat="false" ht="67.5" hidden="false" customHeight="true" outlineLevel="0" collapsed="false">
      <c r="A14" s="4" t="s">
        <v>194</v>
      </c>
      <c r="B14" s="6" t="s">
        <v>195</v>
      </c>
      <c r="C14" s="11" t="str">
        <f aca="false">INDEX(Сводная!$D$5:$D$38,MATCH(A14,Сводная!$B$5:$B$38,0))</f>
        <v>Есть в мире</v>
      </c>
      <c r="D14" s="11" t="n">
        <f aca="false">INDEX(Сводная!$A$5:$A$38,MATCH(A14,Сводная!$B$5:$B$38,0))</f>
        <v>33</v>
      </c>
      <c r="E14" s="11" t="n">
        <f aca="false">INDEX(Сводная!$E$5:$E$38,MATCH(A14,Сводная!$B$5:$B$38,0))</f>
        <v>57</v>
      </c>
      <c r="F14" s="9" t="s">
        <v>196</v>
      </c>
      <c r="G14" s="9" t="s">
        <v>316</v>
      </c>
      <c r="H14" s="9" t="s">
        <v>317</v>
      </c>
      <c r="I14" s="9" t="s">
        <v>318</v>
      </c>
      <c r="J14" s="9" t="s">
        <v>319</v>
      </c>
      <c r="K14" s="9" t="s">
        <v>320</v>
      </c>
      <c r="L14" s="9" t="s">
        <v>237</v>
      </c>
      <c r="M14" s="9" t="s">
        <v>321</v>
      </c>
      <c r="N14" s="9" t="s">
        <v>322</v>
      </c>
      <c r="O14" s="12" t="s">
        <v>323</v>
      </c>
    </row>
    <row r="15" customFormat="false" ht="105.75" hidden="false" customHeight="true" outlineLevel="0" collapsed="false">
      <c r="A15" s="4" t="s">
        <v>99</v>
      </c>
      <c r="B15" s="6" t="s">
        <v>100</v>
      </c>
      <c r="C15" s="11" t="str">
        <f aca="false">INDEX(Сводная!$D$5:$D$38,MATCH(A15,Сводная!$B$5:$B$38,0))</f>
        <v>Есть в мире</v>
      </c>
      <c r="D15" s="11" t="n">
        <f aca="false">INDEX(Сводная!$A$5:$A$38,MATCH(A15,Сводная!$B$5:$B$38,0))</f>
        <v>14</v>
      </c>
      <c r="E15" s="11" t="n">
        <f aca="false">INDEX(Сводная!$E$5:$E$38,MATCH(A15,Сводная!$B$5:$B$38,0))</f>
        <v>71</v>
      </c>
      <c r="F15" s="9" t="s">
        <v>101</v>
      </c>
      <c r="G15" s="9" t="s">
        <v>324</v>
      </c>
      <c r="H15" s="9" t="s">
        <v>325</v>
      </c>
      <c r="I15" s="9" t="s">
        <v>326</v>
      </c>
      <c r="J15" s="9" t="s">
        <v>327</v>
      </c>
      <c r="K15" s="9" t="s">
        <v>328</v>
      </c>
      <c r="L15" s="9" t="s">
        <v>329</v>
      </c>
      <c r="M15" s="9" t="s">
        <v>330</v>
      </c>
      <c r="N15" s="9" t="s">
        <v>331</v>
      </c>
      <c r="O15" s="12" t="s">
        <v>332</v>
      </c>
    </row>
    <row r="16" customFormat="false" ht="144" hidden="false" customHeight="true" outlineLevel="0" collapsed="false">
      <c r="A16" s="4" t="s">
        <v>46</v>
      </c>
      <c r="B16" s="6" t="s">
        <v>47</v>
      </c>
      <c r="C16" s="11" t="str">
        <f aca="false">INDEX(Сводная!$D$5:$D$38,MATCH(A16,Сводная!$B$5:$B$38,0))</f>
        <v>Есть в мире</v>
      </c>
      <c r="D16" s="11" t="n">
        <f aca="false">INDEX(Сводная!$A$5:$A$38,MATCH(A16,Сводная!$B$5:$B$38,0))</f>
        <v>4</v>
      </c>
      <c r="E16" s="11" t="n">
        <f aca="false">INDEX(Сводная!$E$5:$E$38,MATCH(A16,Сводная!$B$5:$B$38,0))</f>
        <v>76</v>
      </c>
      <c r="F16" s="9" t="s">
        <v>48</v>
      </c>
      <c r="G16" s="9" t="s">
        <v>48</v>
      </c>
      <c r="H16" s="9" t="s">
        <v>333</v>
      </c>
      <c r="I16" s="9" t="s">
        <v>334</v>
      </c>
      <c r="J16" s="9" t="s">
        <v>335</v>
      </c>
      <c r="K16" s="9" t="s">
        <v>336</v>
      </c>
      <c r="L16" s="9" t="s">
        <v>337</v>
      </c>
      <c r="M16" s="9" t="s">
        <v>338</v>
      </c>
      <c r="N16" s="9" t="s">
        <v>339</v>
      </c>
      <c r="O16" s="12" t="s">
        <v>340</v>
      </c>
    </row>
    <row r="17" customFormat="false" ht="131.25" hidden="false" customHeight="true" outlineLevel="0" collapsed="false">
      <c r="A17" s="4" t="s">
        <v>172</v>
      </c>
      <c r="B17" s="6" t="s">
        <v>173</v>
      </c>
      <c r="C17" s="11" t="str">
        <f aca="false">INDEX(Сводная!$D$5:$D$38,MATCH(A17,Сводная!$B$5:$B$38,0))</f>
        <v>Есть в мире</v>
      </c>
      <c r="D17" s="11" t="n">
        <f aca="false">INDEX(Сводная!$A$5:$A$38,MATCH(A17,Сводная!$B$5:$B$38,0))</f>
        <v>28</v>
      </c>
      <c r="E17" s="11" t="n">
        <f aca="false">INDEX(Сводная!$E$5:$E$38,MATCH(A17,Сводная!$B$5:$B$38,0))</f>
        <v>62</v>
      </c>
      <c r="F17" s="9" t="s">
        <v>174</v>
      </c>
      <c r="G17" s="9" t="s">
        <v>341</v>
      </c>
      <c r="H17" s="9" t="s">
        <v>342</v>
      </c>
      <c r="I17" s="9" t="s">
        <v>343</v>
      </c>
      <c r="J17" s="9" t="s">
        <v>344</v>
      </c>
      <c r="K17" s="9" t="s">
        <v>345</v>
      </c>
      <c r="L17" s="9" t="s">
        <v>237</v>
      </c>
      <c r="M17" s="9" t="s">
        <v>346</v>
      </c>
      <c r="N17" s="9" t="s">
        <v>347</v>
      </c>
      <c r="O17" s="12" t="s">
        <v>348</v>
      </c>
    </row>
    <row r="18" customFormat="false" ht="80.25" hidden="false" customHeight="true" outlineLevel="0" collapsed="false">
      <c r="A18" s="4" t="s">
        <v>176</v>
      </c>
      <c r="B18" s="6" t="s">
        <v>177</v>
      </c>
      <c r="C18" s="11" t="str">
        <f aca="false">INDEX(Сводная!$D$5:$D$38,MATCH(A18,Сводная!$B$5:$B$38,0))</f>
        <v>Есть в мире</v>
      </c>
      <c r="D18" s="11" t="n">
        <f aca="false">INDEX(Сводная!$A$5:$A$38,MATCH(A18,Сводная!$B$5:$B$38,0))</f>
        <v>29</v>
      </c>
      <c r="E18" s="11" t="n">
        <f aca="false">INDEX(Сводная!$E$5:$E$38,MATCH(A18,Сводная!$B$5:$B$38,0))</f>
        <v>62</v>
      </c>
      <c r="F18" s="9" t="s">
        <v>178</v>
      </c>
      <c r="G18" s="9" t="s">
        <v>349</v>
      </c>
      <c r="H18" s="9" t="s">
        <v>350</v>
      </c>
      <c r="I18" s="9" t="s">
        <v>351</v>
      </c>
      <c r="J18" s="9" t="s">
        <v>352</v>
      </c>
      <c r="K18" s="9" t="s">
        <v>353</v>
      </c>
      <c r="L18" s="9" t="s">
        <v>237</v>
      </c>
      <c r="M18" s="9" t="s">
        <v>354</v>
      </c>
      <c r="N18" s="9" t="s">
        <v>355</v>
      </c>
      <c r="O18" s="12" t="s">
        <v>356</v>
      </c>
    </row>
    <row r="19" customFormat="false" ht="93" hidden="false" customHeight="true" outlineLevel="0" collapsed="false">
      <c r="A19" s="4" t="s">
        <v>70</v>
      </c>
      <c r="B19" s="6" t="s">
        <v>71</v>
      </c>
      <c r="C19" s="11" t="str">
        <f aca="false">INDEX(Сводная!$D$5:$D$38,MATCH(A19,Сводная!$B$5:$B$38,0))</f>
        <v>Есть в мире</v>
      </c>
      <c r="D19" s="11" t="n">
        <f aca="false">INDEX(Сводная!$A$5:$A$38,MATCH(A19,Сводная!$B$5:$B$38,0))</f>
        <v>8</v>
      </c>
      <c r="E19" s="11" t="n">
        <f aca="false">INDEX(Сводная!$E$5:$E$38,MATCH(A19,Сводная!$B$5:$B$38,0))</f>
        <v>72</v>
      </c>
      <c r="F19" s="9" t="s">
        <v>73</v>
      </c>
      <c r="G19" s="9" t="s">
        <v>357</v>
      </c>
      <c r="H19" s="9" t="s">
        <v>358</v>
      </c>
      <c r="I19" s="9" t="s">
        <v>359</v>
      </c>
      <c r="J19" s="9" t="s">
        <v>360</v>
      </c>
      <c r="K19" s="9" t="s">
        <v>361</v>
      </c>
      <c r="L19" s="9" t="s">
        <v>362</v>
      </c>
      <c r="M19" s="9" t="s">
        <v>363</v>
      </c>
      <c r="N19" s="9" t="s">
        <v>364</v>
      </c>
      <c r="O19" s="12" t="s">
        <v>365</v>
      </c>
    </row>
    <row r="20" customFormat="false" ht="80.25" hidden="false" customHeight="true" outlineLevel="0" collapsed="false">
      <c r="A20" s="4" t="s">
        <v>148</v>
      </c>
      <c r="B20" s="6" t="s">
        <v>149</v>
      </c>
      <c r="C20" s="11" t="str">
        <f aca="false">INDEX(Сводная!$D$5:$D$38,MATCH(A20,Сводная!$B$5:$B$38,0))</f>
        <v>Есть в мире</v>
      </c>
      <c r="D20" s="11" t="n">
        <f aca="false">INDEX(Сводная!$A$5:$A$38,MATCH(A20,Сводная!$B$5:$B$38,0))</f>
        <v>23</v>
      </c>
      <c r="E20" s="11" t="n">
        <f aca="false">INDEX(Сводная!$E$5:$E$38,MATCH(A20,Сводная!$B$5:$B$38,0))</f>
        <v>66</v>
      </c>
      <c r="F20" s="9" t="s">
        <v>150</v>
      </c>
      <c r="G20" s="9" t="s">
        <v>366</v>
      </c>
      <c r="H20" s="9" t="s">
        <v>367</v>
      </c>
      <c r="I20" s="9" t="s">
        <v>368</v>
      </c>
      <c r="J20" s="9" t="s">
        <v>369</v>
      </c>
      <c r="K20" s="9" t="s">
        <v>370</v>
      </c>
      <c r="L20" s="9" t="s">
        <v>371</v>
      </c>
      <c r="M20" s="9" t="s">
        <v>372</v>
      </c>
      <c r="N20" s="9" t="s">
        <v>373</v>
      </c>
      <c r="O20" s="12" t="s">
        <v>237</v>
      </c>
    </row>
    <row r="21" customFormat="false" ht="67.5" hidden="false" customHeight="true" outlineLevel="0" collapsed="false">
      <c r="A21" s="4" t="s">
        <v>180</v>
      </c>
      <c r="B21" s="6" t="s">
        <v>181</v>
      </c>
      <c r="C21" s="11" t="str">
        <f aca="false">INDEX(Сводная!$D$5:$D$38,MATCH(A21,Сводная!$B$5:$B$38,0))</f>
        <v>Есть в мире</v>
      </c>
      <c r="D21" s="11" t="n">
        <f aca="false">INDEX(Сводная!$A$5:$A$38,MATCH(A21,Сводная!$B$5:$B$38,0))</f>
        <v>30</v>
      </c>
      <c r="E21" s="11" t="n">
        <f aca="false">INDEX(Сводная!$E$5:$E$38,MATCH(A21,Сводная!$B$5:$B$38,0))</f>
        <v>62</v>
      </c>
      <c r="F21" s="9" t="s">
        <v>182</v>
      </c>
      <c r="G21" s="9" t="s">
        <v>182</v>
      </c>
      <c r="H21" s="9" t="s">
        <v>374</v>
      </c>
      <c r="I21" s="9" t="s">
        <v>375</v>
      </c>
      <c r="J21" s="9" t="s">
        <v>376</v>
      </c>
      <c r="K21" s="9" t="s">
        <v>377</v>
      </c>
      <c r="L21" s="9" t="s">
        <v>237</v>
      </c>
      <c r="M21" s="9" t="s">
        <v>378</v>
      </c>
      <c r="N21" s="9" t="s">
        <v>379</v>
      </c>
      <c r="O21" s="12" t="s">
        <v>380</v>
      </c>
    </row>
    <row r="22" customFormat="false" ht="67.5" hidden="false" customHeight="true" outlineLevel="0" collapsed="false">
      <c r="A22" s="4" t="s">
        <v>153</v>
      </c>
      <c r="B22" s="6" t="s">
        <v>154</v>
      </c>
      <c r="C22" s="11" t="str">
        <f aca="false">INDEX(Сводная!$D$5:$D$38,MATCH(A22,Сводная!$B$5:$B$38,0))</f>
        <v>Есть в мире</v>
      </c>
      <c r="D22" s="11" t="n">
        <f aca="false">INDEX(Сводная!$A$5:$A$38,MATCH(A22,Сводная!$B$5:$B$38,0))</f>
        <v>24</v>
      </c>
      <c r="E22" s="11" t="n">
        <f aca="false">INDEX(Сводная!$E$5:$E$38,MATCH(A22,Сводная!$B$5:$B$38,0))</f>
        <v>65</v>
      </c>
      <c r="F22" s="9" t="s">
        <v>155</v>
      </c>
      <c r="G22" s="9" t="s">
        <v>155</v>
      </c>
      <c r="H22" s="9" t="s">
        <v>381</v>
      </c>
      <c r="I22" s="9" t="s">
        <v>382</v>
      </c>
      <c r="J22" s="9" t="s">
        <v>383</v>
      </c>
      <c r="K22" s="9" t="s">
        <v>384</v>
      </c>
      <c r="L22" s="9" t="s">
        <v>237</v>
      </c>
      <c r="M22" s="9" t="s">
        <v>385</v>
      </c>
      <c r="N22" s="9" t="s">
        <v>386</v>
      </c>
      <c r="O22" s="12" t="s">
        <v>387</v>
      </c>
    </row>
    <row r="23" customFormat="false" ht="80.25" hidden="false" customHeight="true" outlineLevel="0" collapsed="false">
      <c r="A23" s="4" t="s">
        <v>132</v>
      </c>
      <c r="B23" s="6" t="s">
        <v>133</v>
      </c>
      <c r="C23" s="11" t="str">
        <f aca="false">INDEX(Сводная!$D$5:$D$38,MATCH(A23,Сводная!$B$5:$B$38,0))</f>
        <v>Есть в мире</v>
      </c>
      <c r="D23" s="11" t="n">
        <f aca="false">INDEX(Сводная!$A$5:$A$38,MATCH(A23,Сводная!$B$5:$B$38,0))</f>
        <v>20</v>
      </c>
      <c r="E23" s="11" t="n">
        <f aca="false">INDEX(Сводная!$E$5:$E$38,MATCH(A23,Сводная!$B$5:$B$38,0))</f>
        <v>68</v>
      </c>
      <c r="F23" s="9" t="s">
        <v>135</v>
      </c>
      <c r="G23" s="9" t="s">
        <v>388</v>
      </c>
      <c r="H23" s="9" t="s">
        <v>389</v>
      </c>
      <c r="I23" s="9" t="s">
        <v>390</v>
      </c>
      <c r="J23" s="9" t="s">
        <v>391</v>
      </c>
      <c r="K23" s="9" t="s">
        <v>392</v>
      </c>
      <c r="L23" s="9" t="s">
        <v>237</v>
      </c>
      <c r="M23" s="9" t="s">
        <v>393</v>
      </c>
      <c r="N23" s="9" t="s">
        <v>394</v>
      </c>
      <c r="O23" s="12" t="s">
        <v>395</v>
      </c>
    </row>
    <row r="24" customFormat="false" ht="80.25" hidden="false" customHeight="true" outlineLevel="0" collapsed="false">
      <c r="A24" s="4" t="s">
        <v>198</v>
      </c>
      <c r="B24" s="6" t="s">
        <v>199</v>
      </c>
      <c r="C24" s="11" t="str">
        <f aca="false">INDEX(Сводная!$D$5:$D$38,MATCH(A24,Сводная!$B$5:$B$38,0))</f>
        <v>Есть в мире</v>
      </c>
      <c r="D24" s="11" t="n">
        <f aca="false">INDEX(Сводная!$A$5:$A$38,MATCH(A24,Сводная!$B$5:$B$38,0))</f>
        <v>34</v>
      </c>
      <c r="E24" s="11" t="n">
        <f aca="false">INDEX(Сводная!$E$5:$E$38,MATCH(A24,Сводная!$B$5:$B$38,0))</f>
        <v>57</v>
      </c>
      <c r="F24" s="9" t="s">
        <v>200</v>
      </c>
      <c r="G24" s="9" t="s">
        <v>396</v>
      </c>
      <c r="H24" s="9" t="s">
        <v>397</v>
      </c>
      <c r="I24" s="9" t="s">
        <v>398</v>
      </c>
      <c r="J24" s="9" t="s">
        <v>399</v>
      </c>
      <c r="K24" s="9" t="s">
        <v>400</v>
      </c>
      <c r="L24" s="9" t="s">
        <v>401</v>
      </c>
      <c r="M24" s="9" t="s">
        <v>402</v>
      </c>
      <c r="N24" s="9" t="s">
        <v>403</v>
      </c>
      <c r="O24" s="12" t="s">
        <v>404</v>
      </c>
    </row>
    <row r="25" customFormat="false" ht="80.25" hidden="false" customHeight="true" outlineLevel="0" collapsed="false">
      <c r="A25" s="4" t="s">
        <v>142</v>
      </c>
      <c r="B25" s="6" t="s">
        <v>143</v>
      </c>
      <c r="C25" s="11" t="str">
        <f aca="false">INDEX(Сводная!$D$5:$D$38,MATCH(A25,Сводная!$B$5:$B$38,0))</f>
        <v>Есть в мире</v>
      </c>
      <c r="D25" s="11" t="n">
        <f aca="false">INDEX(Сводная!$A$5:$A$38,MATCH(A25,Сводная!$B$5:$B$38,0))</f>
        <v>22</v>
      </c>
      <c r="E25" s="11" t="n">
        <f aca="false">INDEX(Сводная!$E$5:$E$38,MATCH(A25,Сводная!$B$5:$B$38,0))</f>
        <v>67</v>
      </c>
      <c r="F25" s="9" t="s">
        <v>145</v>
      </c>
      <c r="G25" s="9" t="s">
        <v>145</v>
      </c>
      <c r="H25" s="9" t="s">
        <v>405</v>
      </c>
      <c r="I25" s="9" t="s">
        <v>406</v>
      </c>
      <c r="J25" s="9" t="s">
        <v>407</v>
      </c>
      <c r="K25" s="9" t="s">
        <v>408</v>
      </c>
      <c r="L25" s="9" t="s">
        <v>409</v>
      </c>
      <c r="M25" s="9" t="s">
        <v>410</v>
      </c>
      <c r="N25" s="9" t="s">
        <v>411</v>
      </c>
      <c r="O25" s="12" t="s">
        <v>237</v>
      </c>
    </row>
    <row r="26" customFormat="false" ht="80.25" hidden="false" customHeight="true" outlineLevel="0" collapsed="false">
      <c r="A26" s="4" t="s">
        <v>185</v>
      </c>
      <c r="B26" s="6" t="s">
        <v>186</v>
      </c>
      <c r="C26" s="11" t="str">
        <f aca="false">INDEX(Сводная!$D$5:$D$38,MATCH(A26,Сводная!$B$5:$B$38,0))</f>
        <v>Есть в мире</v>
      </c>
      <c r="D26" s="11" t="n">
        <f aca="false">INDEX(Сводная!$A$5:$A$38,MATCH(A26,Сводная!$B$5:$B$38,0))</f>
        <v>31</v>
      </c>
      <c r="E26" s="11" t="n">
        <f aca="false">INDEX(Сводная!$E$5:$E$38,MATCH(A26,Сводная!$B$5:$B$38,0))</f>
        <v>62</v>
      </c>
      <c r="F26" s="9" t="s">
        <v>187</v>
      </c>
      <c r="G26" s="9" t="s">
        <v>187</v>
      </c>
      <c r="H26" s="9" t="s">
        <v>412</v>
      </c>
      <c r="I26" s="9" t="s">
        <v>413</v>
      </c>
      <c r="J26" s="9" t="s">
        <v>414</v>
      </c>
      <c r="K26" s="9" t="s">
        <v>415</v>
      </c>
      <c r="L26" s="9" t="s">
        <v>416</v>
      </c>
      <c r="M26" s="9" t="s">
        <v>417</v>
      </c>
      <c r="N26" s="9" t="s">
        <v>418</v>
      </c>
      <c r="O26" s="12" t="s">
        <v>419</v>
      </c>
    </row>
    <row r="27" customFormat="false" ht="182.25" hidden="false" customHeight="true" outlineLevel="0" collapsed="false">
      <c r="A27" s="4" t="s">
        <v>20</v>
      </c>
      <c r="B27" s="6" t="s">
        <v>21</v>
      </c>
      <c r="C27" s="11" t="str">
        <f aca="false">INDEX(Сводная!$D$5:$D$38,MATCH(A27,Сводная!$B$5:$B$38,0))</f>
        <v>Новое</v>
      </c>
      <c r="D27" s="11" t="n">
        <f aca="false">INDEX(Сводная!$A$5:$A$38,MATCH(A27,Сводная!$B$5:$B$38,0))</f>
        <v>1</v>
      </c>
      <c r="E27" s="11" t="n">
        <f aca="false">INDEX(Сводная!$E$5:$E$38,MATCH(A27,Сводная!$B$5:$B$38,0))</f>
        <v>78</v>
      </c>
      <c r="F27" s="9" t="s">
        <v>24</v>
      </c>
      <c r="G27" s="9" t="s">
        <v>420</v>
      </c>
      <c r="H27" s="9" t="s">
        <v>421</v>
      </c>
      <c r="I27" s="9" t="s">
        <v>422</v>
      </c>
      <c r="J27" s="9" t="s">
        <v>423</v>
      </c>
      <c r="K27" s="9" t="s">
        <v>424</v>
      </c>
      <c r="L27" s="9" t="s">
        <v>425</v>
      </c>
      <c r="M27" s="9" t="s">
        <v>426</v>
      </c>
      <c r="N27" s="9" t="s">
        <v>427</v>
      </c>
      <c r="O27" s="12" t="s">
        <v>428</v>
      </c>
    </row>
    <row r="28" customFormat="false" ht="118.5" hidden="false" customHeight="true" outlineLevel="0" collapsed="false">
      <c r="A28" s="4" t="s">
        <v>30</v>
      </c>
      <c r="B28" s="6" t="s">
        <v>31</v>
      </c>
      <c r="C28" s="11" t="str">
        <f aca="false">INDEX(Сводная!$D$5:$D$38,MATCH(A28,Сводная!$B$5:$B$38,0))</f>
        <v>Новое</v>
      </c>
      <c r="D28" s="11" t="n">
        <f aca="false">INDEX(Сводная!$A$5:$A$38,MATCH(A28,Сводная!$B$5:$B$38,0))</f>
        <v>2</v>
      </c>
      <c r="E28" s="11" t="n">
        <f aca="false">INDEX(Сводная!$E$5:$E$38,MATCH(A28,Сводная!$B$5:$B$38,0))</f>
        <v>77</v>
      </c>
      <c r="F28" s="9" t="s">
        <v>33</v>
      </c>
      <c r="G28" s="9" t="s">
        <v>420</v>
      </c>
      <c r="H28" s="9" t="s">
        <v>429</v>
      </c>
      <c r="I28" s="9" t="s">
        <v>430</v>
      </c>
      <c r="J28" s="9" t="s">
        <v>431</v>
      </c>
      <c r="K28" s="9" t="s">
        <v>432</v>
      </c>
      <c r="L28" s="9" t="s">
        <v>433</v>
      </c>
      <c r="M28" s="9" t="s">
        <v>434</v>
      </c>
      <c r="N28" s="9" t="s">
        <v>435</v>
      </c>
      <c r="O28" s="12" t="s">
        <v>436</v>
      </c>
    </row>
    <row r="29" customFormat="false" ht="169.5" hidden="false" customHeight="true" outlineLevel="0" collapsed="false">
      <c r="A29" s="4" t="s">
        <v>59</v>
      </c>
      <c r="B29" s="6" t="s">
        <v>60</v>
      </c>
      <c r="C29" s="11" t="str">
        <f aca="false">INDEX(Сводная!$D$5:$D$38,MATCH(A29,Сводная!$B$5:$B$38,0))</f>
        <v>Новое</v>
      </c>
      <c r="D29" s="11" t="n">
        <f aca="false">INDEX(Сводная!$A$5:$A$38,MATCH(A29,Сводная!$B$5:$B$38,0))</f>
        <v>6</v>
      </c>
      <c r="E29" s="11" t="n">
        <f aca="false">INDEX(Сводная!$E$5:$E$38,MATCH(A29,Сводная!$B$5:$B$38,0))</f>
        <v>73</v>
      </c>
      <c r="F29" s="9" t="s">
        <v>61</v>
      </c>
      <c r="G29" s="9" t="s">
        <v>437</v>
      </c>
      <c r="H29" s="9" t="s">
        <v>438</v>
      </c>
      <c r="I29" s="9" t="s">
        <v>439</v>
      </c>
      <c r="J29" s="9" t="s">
        <v>440</v>
      </c>
      <c r="K29" s="9" t="s">
        <v>441</v>
      </c>
      <c r="L29" s="9" t="s">
        <v>442</v>
      </c>
      <c r="M29" s="9" t="s">
        <v>443</v>
      </c>
      <c r="N29" s="9" t="s">
        <v>444</v>
      </c>
      <c r="O29" s="12" t="s">
        <v>445</v>
      </c>
    </row>
    <row r="30" customFormat="false" ht="80.25" hidden="false" customHeight="true" outlineLevel="0" collapsed="false">
      <c r="A30" s="4" t="s">
        <v>75</v>
      </c>
      <c r="B30" s="6" t="s">
        <v>76</v>
      </c>
      <c r="C30" s="11" t="str">
        <f aca="false">INDEX(Сводная!$D$5:$D$38,MATCH(A30,Сводная!$B$5:$B$38,0))</f>
        <v>Новое</v>
      </c>
      <c r="D30" s="11" t="n">
        <f aca="false">INDEX(Сводная!$A$5:$A$38,MATCH(A30,Сводная!$B$5:$B$38,0))</f>
        <v>9</v>
      </c>
      <c r="E30" s="11" t="n">
        <f aca="false">INDEX(Сводная!$E$5:$E$38,MATCH(A30,Сводная!$B$5:$B$38,0))</f>
        <v>72</v>
      </c>
      <c r="F30" s="9" t="s">
        <v>77</v>
      </c>
      <c r="G30" s="9" t="s">
        <v>446</v>
      </c>
      <c r="H30" s="9" t="s">
        <v>447</v>
      </c>
      <c r="I30" s="9" t="s">
        <v>448</v>
      </c>
      <c r="J30" s="9" t="s">
        <v>449</v>
      </c>
      <c r="K30" s="9" t="s">
        <v>450</v>
      </c>
      <c r="L30" s="9" t="s">
        <v>451</v>
      </c>
      <c r="M30" s="9" t="s">
        <v>452</v>
      </c>
      <c r="N30" s="9" t="s">
        <v>453</v>
      </c>
      <c r="O30" s="12" t="s">
        <v>454</v>
      </c>
    </row>
    <row r="31" customFormat="false" ht="80.25" hidden="false" customHeight="true" outlineLevel="0" collapsed="false">
      <c r="A31" s="4" t="s">
        <v>115</v>
      </c>
      <c r="B31" s="6" t="s">
        <v>116</v>
      </c>
      <c r="C31" s="11" t="str">
        <f aca="false">INDEX(Сводная!$D$5:$D$38,MATCH(A31,Сводная!$B$5:$B$38,0))</f>
        <v>Новое</v>
      </c>
      <c r="D31" s="11" t="n">
        <f aca="false">INDEX(Сводная!$A$5:$A$38,MATCH(A31,Сводная!$B$5:$B$38,0))</f>
        <v>17</v>
      </c>
      <c r="E31" s="11" t="n">
        <f aca="false">INDEX(Сводная!$E$5:$E$38,MATCH(A31,Сводная!$B$5:$B$38,0))</f>
        <v>69</v>
      </c>
      <c r="F31" s="9" t="s">
        <v>117</v>
      </c>
      <c r="G31" s="9" t="s">
        <v>455</v>
      </c>
      <c r="H31" s="9" t="s">
        <v>456</v>
      </c>
      <c r="I31" s="9" t="s">
        <v>457</v>
      </c>
      <c r="J31" s="9" t="s">
        <v>458</v>
      </c>
      <c r="K31" s="9" t="s">
        <v>237</v>
      </c>
      <c r="L31" s="9" t="s">
        <v>459</v>
      </c>
      <c r="M31" s="9" t="s">
        <v>460</v>
      </c>
      <c r="N31" s="9" t="s">
        <v>461</v>
      </c>
      <c r="O31" s="12" t="s">
        <v>462</v>
      </c>
    </row>
    <row r="32" customFormat="false" ht="131.25" hidden="false" customHeight="true" outlineLevel="0" collapsed="false">
      <c r="A32" s="4" t="s">
        <v>53</v>
      </c>
      <c r="B32" s="6" t="s">
        <v>54</v>
      </c>
      <c r="C32" s="11" t="str">
        <f aca="false">INDEX(Сводная!$D$5:$D$38,MATCH(A32,Сводная!$B$5:$B$38,0))</f>
        <v>Новое</v>
      </c>
      <c r="D32" s="11" t="n">
        <f aca="false">INDEX(Сводная!$A$5:$A$38,MATCH(A32,Сводная!$B$5:$B$38,0))</f>
        <v>5</v>
      </c>
      <c r="E32" s="11" t="n">
        <f aca="false">INDEX(Сводная!$E$5:$E$38,MATCH(A32,Сводная!$B$5:$B$38,0))</f>
        <v>74</v>
      </c>
      <c r="F32" s="9" t="s">
        <v>56</v>
      </c>
      <c r="G32" s="9" t="s">
        <v>463</v>
      </c>
      <c r="H32" s="9" t="s">
        <v>464</v>
      </c>
      <c r="I32" s="9" t="s">
        <v>465</v>
      </c>
      <c r="J32" s="9" t="s">
        <v>466</v>
      </c>
      <c r="K32" s="9" t="s">
        <v>467</v>
      </c>
      <c r="L32" s="9" t="s">
        <v>468</v>
      </c>
      <c r="M32" s="9" t="s">
        <v>469</v>
      </c>
      <c r="N32" s="9" t="s">
        <v>470</v>
      </c>
      <c r="O32" s="12" t="s">
        <v>237</v>
      </c>
    </row>
    <row r="33" customFormat="false" ht="118.5" hidden="false" customHeight="true" outlineLevel="0" collapsed="false">
      <c r="A33" s="4" t="s">
        <v>163</v>
      </c>
      <c r="B33" s="6" t="s">
        <v>164</v>
      </c>
      <c r="C33" s="11" t="str">
        <f aca="false">INDEX(Сводная!$D$5:$D$38,MATCH(A33,Сводная!$B$5:$B$38,0))</f>
        <v>Новое</v>
      </c>
      <c r="D33" s="11" t="n">
        <f aca="false">INDEX(Сводная!$A$5:$A$38,MATCH(A33,Сводная!$B$5:$B$38,0))</f>
        <v>26</v>
      </c>
      <c r="E33" s="11" t="n">
        <f aca="false">INDEX(Сводная!$E$5:$E$38,MATCH(A33,Сводная!$B$5:$B$38,0))</f>
        <v>64</v>
      </c>
      <c r="F33" s="9" t="s">
        <v>165</v>
      </c>
      <c r="G33" s="9" t="s">
        <v>471</v>
      </c>
      <c r="H33" s="9" t="s">
        <v>472</v>
      </c>
      <c r="I33" s="9" t="s">
        <v>473</v>
      </c>
      <c r="J33" s="9" t="s">
        <v>474</v>
      </c>
      <c r="K33" s="9" t="s">
        <v>475</v>
      </c>
      <c r="L33" s="9" t="s">
        <v>237</v>
      </c>
      <c r="M33" s="9" t="s">
        <v>476</v>
      </c>
      <c r="N33" s="9" t="s">
        <v>477</v>
      </c>
      <c r="O33" s="12" t="s">
        <v>237</v>
      </c>
    </row>
    <row r="34" customFormat="false" ht="105.75" hidden="false" customHeight="true" outlineLevel="0" collapsed="false">
      <c r="A34" s="4" t="s">
        <v>120</v>
      </c>
      <c r="B34" s="6" t="s">
        <v>121</v>
      </c>
      <c r="C34" s="11" t="str">
        <f aca="false">INDEX(Сводная!$D$5:$D$38,MATCH(A34,Сводная!$B$5:$B$38,0))</f>
        <v>Новое</v>
      </c>
      <c r="D34" s="11" t="n">
        <f aca="false">INDEX(Сводная!$A$5:$A$38,MATCH(A34,Сводная!$B$5:$B$38,0))</f>
        <v>18</v>
      </c>
      <c r="E34" s="11" t="n">
        <f aca="false">INDEX(Сводная!$E$5:$E$38,MATCH(A34,Сводная!$B$5:$B$38,0))</f>
        <v>69</v>
      </c>
      <c r="F34" s="9" t="s">
        <v>122</v>
      </c>
      <c r="G34" s="9" t="s">
        <v>478</v>
      </c>
      <c r="H34" s="9" t="s">
        <v>479</v>
      </c>
      <c r="I34" s="9" t="s">
        <v>480</v>
      </c>
      <c r="J34" s="9" t="s">
        <v>481</v>
      </c>
      <c r="K34" s="9" t="s">
        <v>482</v>
      </c>
      <c r="L34" s="9" t="s">
        <v>237</v>
      </c>
      <c r="M34" s="9" t="s">
        <v>483</v>
      </c>
      <c r="N34" s="9" t="s">
        <v>484</v>
      </c>
      <c r="O34" s="12" t="s">
        <v>237</v>
      </c>
    </row>
    <row r="35" customFormat="false" ht="118.5" hidden="false" customHeight="true" outlineLevel="0" collapsed="false">
      <c r="A35" s="4" t="s">
        <v>158</v>
      </c>
      <c r="B35" s="6" t="s">
        <v>159</v>
      </c>
      <c r="C35" s="11" t="str">
        <f aca="false">INDEX(Сводная!$D$5:$D$38,MATCH(A35,Сводная!$B$5:$B$38,0))</f>
        <v>Новое</v>
      </c>
      <c r="D35" s="11" t="n">
        <f aca="false">INDEX(Сводная!$A$5:$A$38,MATCH(A35,Сводная!$B$5:$B$38,0))</f>
        <v>25</v>
      </c>
      <c r="E35" s="11" t="n">
        <f aca="false">INDEX(Сводная!$E$5:$E$38,MATCH(A35,Сводная!$B$5:$B$38,0))</f>
        <v>65</v>
      </c>
      <c r="F35" s="9" t="s">
        <v>160</v>
      </c>
      <c r="G35" s="9" t="s">
        <v>485</v>
      </c>
      <c r="H35" s="9" t="s">
        <v>486</v>
      </c>
      <c r="I35" s="9" t="s">
        <v>487</v>
      </c>
      <c r="J35" s="9" t="s">
        <v>488</v>
      </c>
      <c r="K35" s="9" t="s">
        <v>489</v>
      </c>
      <c r="L35" s="9" t="s">
        <v>237</v>
      </c>
      <c r="M35" s="9" t="s">
        <v>490</v>
      </c>
      <c r="N35" s="9" t="s">
        <v>491</v>
      </c>
      <c r="O35" s="12" t="s">
        <v>237</v>
      </c>
    </row>
  </sheetData>
  <autoFilter ref="A1:O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492</v>
      </c>
    </row>
    <row r="2" customFormat="false" ht="27.75" hidden="false" customHeight="true" outlineLevel="0" collapsed="false">
      <c r="A2" s="13" t="s">
        <v>493</v>
      </c>
      <c r="B2" s="13"/>
      <c r="C2" s="13"/>
      <c r="D2" s="13"/>
    </row>
    <row r="5" customFormat="false" ht="15" hidden="false" customHeight="false" outlineLevel="0" collapsed="false">
      <c r="A5" s="3" t="s">
        <v>494</v>
      </c>
      <c r="B5" s="3" t="s">
        <v>495</v>
      </c>
      <c r="C5" s="3" t="s">
        <v>496</v>
      </c>
      <c r="D5" s="3" t="s">
        <v>497</v>
      </c>
    </row>
    <row r="6" customFormat="false" ht="15" hidden="false" customHeight="false" outlineLevel="0" collapsed="false">
      <c r="A6" s="6" t="s">
        <v>498</v>
      </c>
      <c r="B6" s="9" t="s">
        <v>499</v>
      </c>
      <c r="C6" s="14" t="n">
        <v>5</v>
      </c>
      <c r="D6" s="15" t="n">
        <f aca="false">IF(SUM($C$6:$C$11)=0,0,C6/SUM($C$6:$C$11))</f>
        <v>0.25</v>
      </c>
    </row>
    <row r="7" customFormat="false" ht="15" hidden="false" customHeight="false" outlineLevel="0" collapsed="false">
      <c r="A7" s="6" t="s">
        <v>500</v>
      </c>
      <c r="B7" s="9" t="s">
        <v>501</v>
      </c>
      <c r="C7" s="14" t="n">
        <v>4</v>
      </c>
      <c r="D7" s="15" t="n">
        <f aca="false">IF(SUM($C$6:$C$11)=0,0,C7/SUM($C$6:$C$11))</f>
        <v>0.2</v>
      </c>
    </row>
    <row r="8" customFormat="false" ht="15" hidden="false" customHeight="false" outlineLevel="0" collapsed="false">
      <c r="A8" s="6" t="s">
        <v>502</v>
      </c>
      <c r="B8" s="9" t="s">
        <v>503</v>
      </c>
      <c r="C8" s="14" t="n">
        <v>4</v>
      </c>
      <c r="D8" s="15" t="n">
        <f aca="false">IF(SUM($C$6:$C$11)=0,0,C8/SUM($C$6:$C$11))</f>
        <v>0.2</v>
      </c>
    </row>
    <row r="9" customFormat="false" ht="15" hidden="false" customHeight="false" outlineLevel="0" collapsed="false">
      <c r="A9" s="6" t="s">
        <v>504</v>
      </c>
      <c r="B9" s="9" t="s">
        <v>505</v>
      </c>
      <c r="C9" s="14" t="n">
        <v>3</v>
      </c>
      <c r="D9" s="15" t="n">
        <f aca="false">IF(SUM($C$6:$C$11)=0,0,C9/SUM($C$6:$C$11))</f>
        <v>0.15</v>
      </c>
    </row>
    <row r="10" customFormat="false" ht="15" hidden="false" customHeight="false" outlineLevel="0" collapsed="false">
      <c r="A10" s="6" t="s">
        <v>506</v>
      </c>
      <c r="B10" s="9" t="s">
        <v>507</v>
      </c>
      <c r="C10" s="14" t="n">
        <v>2</v>
      </c>
      <c r="D10" s="15" t="n">
        <f aca="false">IF(SUM($C$6:$C$11)=0,0,C10/SUM($C$6:$C$11))</f>
        <v>0.1</v>
      </c>
    </row>
    <row r="11" customFormat="false" ht="15" hidden="false" customHeight="false" outlineLevel="0" collapsed="false">
      <c r="A11" s="6" t="s">
        <v>508</v>
      </c>
      <c r="B11" s="9" t="s">
        <v>509</v>
      </c>
      <c r="C11" s="14" t="n">
        <v>2</v>
      </c>
      <c r="D11" s="15" t="n">
        <f aca="false">IF(SUM($C$6:$C$11)=0,0,C11/SUM($C$6:$C$11))</f>
        <v>0.1</v>
      </c>
    </row>
    <row r="12" customFormat="false" ht="15" hidden="false" customHeight="false" outlineLevel="0" collapsed="false">
      <c r="A12" s="6" t="s">
        <v>510</v>
      </c>
      <c r="C12" s="4" t="n">
        <f aca="false">SUM(C6:C11)</f>
        <v>20</v>
      </c>
      <c r="D12" s="16" t="n">
        <f aca="false">SUM(D6:D11)</f>
        <v>1</v>
      </c>
    </row>
    <row r="14" customFormat="false" ht="15" hidden="false" customHeight="false" outlineLevel="0" collapsed="false">
      <c r="A14" s="17" t="s">
        <v>511</v>
      </c>
    </row>
    <row r="15" customFormat="false" ht="15" hidden="false" customHeight="false" outlineLevel="0" collapsed="false">
      <c r="A15" s="3" t="s">
        <v>16</v>
      </c>
      <c r="B15" s="3" t="s">
        <v>512</v>
      </c>
    </row>
    <row r="16" customFormat="false" ht="15" hidden="false" customHeight="false" outlineLevel="0" collapsed="false">
      <c r="A16" s="9" t="s">
        <v>26</v>
      </c>
      <c r="B16" s="14" t="n">
        <v>1</v>
      </c>
    </row>
    <row r="17" customFormat="false" ht="15" hidden="false" customHeight="false" outlineLevel="0" collapsed="false">
      <c r="A17" s="9" t="s">
        <v>50</v>
      </c>
      <c r="B17" s="14" t="n">
        <v>0.75</v>
      </c>
    </row>
    <row r="18" customFormat="false" ht="15" hidden="false" customHeight="false" outlineLevel="0" collapsed="false">
      <c r="A18" s="9" t="s">
        <v>43</v>
      </c>
      <c r="B18" s="14" t="n">
        <v>0.5</v>
      </c>
    </row>
    <row r="19" customFormat="false" ht="15" hidden="false" customHeight="false" outlineLevel="0" collapsed="false">
      <c r="A19" s="9" t="s">
        <v>513</v>
      </c>
      <c r="B19" s="14" t="n">
        <v>0.25</v>
      </c>
    </row>
    <row r="22" customFormat="false" ht="15" hidden="false" customHeight="false" outlineLevel="0" collapsed="false">
      <c r="A22" s="3" t="s">
        <v>17</v>
      </c>
      <c r="B22" s="3" t="s">
        <v>514</v>
      </c>
    </row>
    <row r="23" customFormat="false" ht="15" hidden="false" customHeight="false" outlineLevel="0" collapsed="false">
      <c r="A23" s="9" t="s">
        <v>34</v>
      </c>
      <c r="B23" s="14" t="n">
        <v>1</v>
      </c>
    </row>
    <row r="24" customFormat="false" ht="15" hidden="false" customHeight="false" outlineLevel="0" collapsed="false">
      <c r="A24" s="9" t="s">
        <v>27</v>
      </c>
      <c r="B24" s="14" t="n">
        <v>0.6</v>
      </c>
    </row>
    <row r="25" customFormat="false" ht="15" hidden="false" customHeight="false" outlineLevel="0" collapsed="false">
      <c r="A25" s="9" t="s">
        <v>166</v>
      </c>
      <c r="B25" s="14" t="n">
        <v>0.2</v>
      </c>
    </row>
    <row r="28" customFormat="false" ht="15" hidden="false" customHeight="false" outlineLevel="0" collapsed="false">
      <c r="A28" s="17" t="s">
        <v>515</v>
      </c>
    </row>
    <row r="29" customFormat="false" ht="54" hidden="false" customHeight="true" outlineLevel="0" collapsed="false">
      <c r="A29" s="18" t="s">
        <v>516</v>
      </c>
      <c r="B29" s="18"/>
      <c r="C29" s="18"/>
      <c r="D29" s="18"/>
    </row>
    <row r="31" customFormat="false" ht="15" hidden="false" customHeight="false" outlineLevel="0" collapsed="false">
      <c r="A31" s="17" t="s">
        <v>517</v>
      </c>
    </row>
    <row r="32" customFormat="false" ht="15" hidden="false" customHeight="true" outlineLevel="0" collapsed="false">
      <c r="A32" s="3" t="s">
        <v>518</v>
      </c>
      <c r="B32" s="3" t="s">
        <v>519</v>
      </c>
      <c r="C32" s="3"/>
      <c r="D32" s="3"/>
    </row>
    <row r="33" customFormat="false" ht="39.75" hidden="false" customHeight="true" outlineLevel="0" collapsed="false">
      <c r="A33" s="6" t="s">
        <v>10</v>
      </c>
      <c r="B33" s="9" t="s">
        <v>520</v>
      </c>
      <c r="C33" s="9"/>
      <c r="D33" s="9"/>
    </row>
    <row r="34" customFormat="false" ht="39.75" hidden="false" customHeight="true" outlineLevel="0" collapsed="false">
      <c r="A34" s="6" t="s">
        <v>521</v>
      </c>
      <c r="B34" s="9" t="s">
        <v>522</v>
      </c>
      <c r="C34" s="9"/>
      <c r="D34" s="9"/>
    </row>
    <row r="35" customFormat="false" ht="39.75" hidden="false" customHeight="true" outlineLevel="0" collapsed="false">
      <c r="A35" s="6" t="s">
        <v>14</v>
      </c>
      <c r="B35" s="9" t="s">
        <v>523</v>
      </c>
      <c r="C35" s="9"/>
      <c r="D35" s="9"/>
    </row>
    <row r="36" customFormat="false" ht="39.75" hidden="false" customHeight="true" outlineLevel="0" collapsed="false">
      <c r="A36" s="6" t="s">
        <v>15</v>
      </c>
      <c r="B36" s="9" t="s">
        <v>524</v>
      </c>
      <c r="C36" s="9"/>
      <c r="D36" s="9"/>
    </row>
    <row r="37" customFormat="false" ht="39.75" hidden="false" customHeight="true" outlineLevel="0" collapsed="false">
      <c r="A37" s="6" t="s">
        <v>16</v>
      </c>
      <c r="B37" s="9" t="s">
        <v>525</v>
      </c>
      <c r="C37" s="9"/>
      <c r="D37" s="9"/>
    </row>
    <row r="38" customFormat="false" ht="39.75" hidden="false" customHeight="true" outlineLevel="0" collapsed="false">
      <c r="A38" s="6" t="s">
        <v>17</v>
      </c>
      <c r="B38" s="9" t="s">
        <v>526</v>
      </c>
      <c r="C38" s="9"/>
      <c r="D38" s="9"/>
    </row>
    <row r="40" customFormat="false" ht="15" hidden="false" customHeight="false" outlineLevel="0" collapsed="false">
      <c r="A40" s="17" t="s">
        <v>527</v>
      </c>
    </row>
    <row r="41" customFormat="false" ht="42" hidden="false" customHeight="true" outlineLevel="0" collapsed="false">
      <c r="A41" s="18" t="s">
        <v>528</v>
      </c>
      <c r="B41" s="18"/>
      <c r="C41" s="18"/>
      <c r="D41" s="18"/>
    </row>
    <row r="42" customFormat="false" ht="29.25" hidden="false" customHeight="true" outlineLevel="0" collapsed="false">
      <c r="A42" s="18" t="s">
        <v>529</v>
      </c>
      <c r="B42" s="18"/>
      <c r="C42" s="18"/>
      <c r="D42" s="18"/>
    </row>
    <row r="43" customFormat="false" ht="29.25" hidden="false" customHeight="true" outlineLevel="0" collapsed="false">
      <c r="A43" s="18" t="s">
        <v>530</v>
      </c>
      <c r="B43" s="18"/>
      <c r="C43" s="18"/>
      <c r="D43" s="18"/>
    </row>
    <row r="44" customFormat="false" ht="29.25" hidden="false" customHeight="true" outlineLevel="0" collapsed="false">
      <c r="A44" s="18" t="s">
        <v>531</v>
      </c>
      <c r="B44" s="18"/>
      <c r="C44" s="18"/>
      <c r="D44" s="18"/>
    </row>
    <row r="45" customFormat="false" ht="27.75" hidden="false" customHeight="true" outlineLevel="0" collapsed="false">
      <c r="A45" s="18" t="s">
        <v>532</v>
      </c>
      <c r="B45" s="18"/>
      <c r="C45" s="18"/>
      <c r="D45" s="18"/>
    </row>
  </sheetData>
  <mergeCells count="14">
    <mergeCell ref="A2:D2"/>
    <mergeCell ref="A29:D29"/>
    <mergeCell ref="B32:D32"/>
    <mergeCell ref="B33:D33"/>
    <mergeCell ref="B34:D34"/>
    <mergeCell ref="B35:D35"/>
    <mergeCell ref="B36:D36"/>
    <mergeCell ref="B37:D37"/>
    <mergeCell ref="B38:D38"/>
    <mergeCell ref="A41:D41"/>
    <mergeCell ref="A42:D42"/>
    <mergeCell ref="A43:D43"/>
    <mergeCell ref="A44:D44"/>
    <mergeCell ref="A45:D45"/>
  </mergeCells>
  <dataValidations count="2">
    <dataValidation allowBlank="false" error="Введите целое число от 0 до 10" errorStyle="stop" operator="between" showDropDown="false" showErrorMessage="true" showInputMessage="false" sqref="C6:C11" type="whole">
      <formula1>0</formula1>
      <formula2>10</formula2>
    </dataValidation>
    <dataValidation allowBlank="false" error="Введите долю от 0 до 1 (например, 0,75)" errorStyle="stop" operator="between" showDropDown="false" showErrorMessage="true" showInputMessage="false" sqref="B16:B19 B23:B25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7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4" min="4" style="0" width="60"/>
    <col collapsed="false" customWidth="true" hidden="false" outlineLevel="0" max="5" min="5" style="0" width="22"/>
  </cols>
  <sheetData>
    <row r="1" customFormat="false" ht="30" hidden="false" customHeight="true" outlineLevel="0" collapsed="false">
      <c r="A1" s="3" t="s">
        <v>533</v>
      </c>
      <c r="B1" s="3" t="s">
        <v>534</v>
      </c>
      <c r="C1" s="3" t="s">
        <v>535</v>
      </c>
      <c r="D1" s="3" t="s">
        <v>536</v>
      </c>
      <c r="E1" s="3" t="s">
        <v>537</v>
      </c>
    </row>
    <row r="2" customFormat="false" ht="42" hidden="false" customHeight="true" outlineLevel="0" collapsed="false">
      <c r="A2" s="6" t="s">
        <v>538</v>
      </c>
      <c r="B2" s="9" t="s">
        <v>539</v>
      </c>
      <c r="C2" s="9" t="s">
        <v>540</v>
      </c>
      <c r="D2" s="9" t="s">
        <v>541</v>
      </c>
      <c r="E2" s="9" t="s">
        <v>542</v>
      </c>
    </row>
    <row r="3" customFormat="false" ht="29.25" hidden="false" customHeight="true" outlineLevel="0" collapsed="false">
      <c r="A3" s="6" t="s">
        <v>543</v>
      </c>
      <c r="B3" s="9" t="s">
        <v>544</v>
      </c>
      <c r="C3" s="9" t="s">
        <v>545</v>
      </c>
      <c r="D3" s="9" t="s">
        <v>546</v>
      </c>
      <c r="E3" s="9"/>
    </row>
    <row r="4" customFormat="false" ht="29.25" hidden="false" customHeight="true" outlineLevel="0" collapsed="false">
      <c r="A4" s="6" t="s">
        <v>547</v>
      </c>
      <c r="B4" s="9" t="s">
        <v>548</v>
      </c>
      <c r="C4" s="9" t="s">
        <v>549</v>
      </c>
      <c r="D4" s="9" t="s">
        <v>550</v>
      </c>
      <c r="E4" s="9"/>
    </row>
    <row r="5" customFormat="false" ht="29.25" hidden="false" customHeight="true" outlineLevel="0" collapsed="false">
      <c r="A5" s="6" t="s">
        <v>551</v>
      </c>
      <c r="B5" s="9" t="s">
        <v>552</v>
      </c>
      <c r="C5" s="9" t="s">
        <v>553</v>
      </c>
      <c r="D5" s="9" t="s">
        <v>554</v>
      </c>
      <c r="E5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8"/>
    <col collapsed="false" customWidth="true" hidden="false" outlineLevel="0" max="3" min="3" style="0" width="40"/>
    <col collapsed="false" customWidth="true" hidden="false" outlineLevel="0" max="4" min="4" style="0" width="50"/>
  </cols>
  <sheetData>
    <row r="1" customFormat="false" ht="30" hidden="false" customHeight="true" outlineLevel="0" collapsed="false">
      <c r="A1" s="3" t="s">
        <v>555</v>
      </c>
      <c r="B1" s="3" t="s">
        <v>556</v>
      </c>
      <c r="C1" s="3" t="s">
        <v>557</v>
      </c>
      <c r="D1" s="3" t="s">
        <v>211</v>
      </c>
    </row>
    <row r="2" customFormat="false" ht="29.25" hidden="false" customHeight="true" outlineLevel="0" collapsed="false">
      <c r="A2" s="6" t="s">
        <v>558</v>
      </c>
      <c r="B2" s="9" t="s">
        <v>559</v>
      </c>
      <c r="C2" s="9" t="s">
        <v>560</v>
      </c>
      <c r="D2" s="9" t="s">
        <v>237</v>
      </c>
    </row>
    <row r="3" customFormat="false" ht="29.25" hidden="false" customHeight="true" outlineLevel="0" collapsed="false">
      <c r="A3" s="6" t="s">
        <v>561</v>
      </c>
      <c r="B3" s="9" t="s">
        <v>562</v>
      </c>
      <c r="C3" s="9" t="s">
        <v>563</v>
      </c>
      <c r="D3" s="9" t="s">
        <v>237</v>
      </c>
    </row>
    <row r="4" customFormat="false" ht="67.5" hidden="false" customHeight="true" outlineLevel="0" collapsed="false">
      <c r="A4" s="6" t="s">
        <v>564</v>
      </c>
      <c r="B4" s="9" t="s">
        <v>565</v>
      </c>
      <c r="C4" s="9" t="s">
        <v>566</v>
      </c>
      <c r="D4" s="9" t="s">
        <v>567</v>
      </c>
    </row>
    <row r="5" customFormat="false" ht="16.5" hidden="false" customHeight="true" outlineLevel="0" collapsed="false">
      <c r="A5" s="6" t="s">
        <v>568</v>
      </c>
      <c r="B5" s="9" t="s">
        <v>569</v>
      </c>
      <c r="C5" s="9" t="s">
        <v>570</v>
      </c>
      <c r="D5" s="9" t="s">
        <v>571</v>
      </c>
    </row>
    <row r="6" customFormat="false" ht="29.25" hidden="false" customHeight="true" outlineLevel="0" collapsed="false">
      <c r="A6" s="6" t="s">
        <v>572</v>
      </c>
      <c r="B6" s="9" t="s">
        <v>573</v>
      </c>
      <c r="C6" s="9" t="s">
        <v>574</v>
      </c>
      <c r="D6" s="9" t="s">
        <v>237</v>
      </c>
    </row>
    <row r="7" customFormat="false" ht="29.25" hidden="false" customHeight="true" outlineLevel="0" collapsed="false">
      <c r="A7" s="6" t="s">
        <v>575</v>
      </c>
      <c r="B7" s="9" t="s">
        <v>576</v>
      </c>
      <c r="C7" s="9" t="s">
        <v>577</v>
      </c>
      <c r="D7" s="9" t="s">
        <v>578</v>
      </c>
    </row>
    <row r="8" customFormat="false" ht="29.25" hidden="false" customHeight="true" outlineLevel="0" collapsed="false">
      <c r="A8" s="6" t="s">
        <v>579</v>
      </c>
      <c r="B8" s="9" t="s">
        <v>580</v>
      </c>
      <c r="C8" s="9" t="s">
        <v>581</v>
      </c>
      <c r="D8" s="9" t="s">
        <v>237</v>
      </c>
    </row>
    <row r="9" customFormat="false" ht="29.25" hidden="false" customHeight="true" outlineLevel="0" collapsed="false">
      <c r="A9" s="6" t="s">
        <v>582</v>
      </c>
      <c r="B9" s="9" t="s">
        <v>583</v>
      </c>
      <c r="C9" s="9" t="s">
        <v>584</v>
      </c>
      <c r="D9" s="9" t="s">
        <v>585</v>
      </c>
    </row>
    <row r="10" customFormat="false" ht="29.25" hidden="false" customHeight="true" outlineLevel="0" collapsed="false">
      <c r="A10" s="6" t="s">
        <v>586</v>
      </c>
      <c r="B10" s="9" t="s">
        <v>587</v>
      </c>
      <c r="C10" s="9" t="s">
        <v>588</v>
      </c>
      <c r="D10" s="9" t="s">
        <v>589</v>
      </c>
    </row>
    <row r="11" customFormat="false" ht="29.25" hidden="false" customHeight="true" outlineLevel="0" collapsed="false">
      <c r="A11" s="6" t="s">
        <v>590</v>
      </c>
      <c r="B11" s="9" t="s">
        <v>591</v>
      </c>
      <c r="C11" s="9" t="s">
        <v>592</v>
      </c>
      <c r="D11" s="9" t="s">
        <v>237</v>
      </c>
    </row>
    <row r="12" customFormat="false" ht="29.25" hidden="false" customHeight="true" outlineLevel="0" collapsed="false">
      <c r="A12" s="6" t="s">
        <v>593</v>
      </c>
      <c r="B12" s="9" t="s">
        <v>594</v>
      </c>
      <c r="C12" s="9" t="s">
        <v>595</v>
      </c>
      <c r="D12" s="9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90"/>
  </cols>
  <sheetData>
    <row r="1" customFormat="false" ht="30" hidden="false" customHeight="true" outlineLevel="0" collapsed="false">
      <c r="A1" s="3" t="s">
        <v>596</v>
      </c>
      <c r="B1" s="3" t="s">
        <v>597</v>
      </c>
    </row>
    <row r="2" customFormat="false" ht="29.25" hidden="false" customHeight="true" outlineLevel="0" collapsed="false">
      <c r="A2" s="6" t="s">
        <v>598</v>
      </c>
      <c r="B2" s="9" t="s">
        <v>599</v>
      </c>
    </row>
    <row r="3" customFormat="false" ht="29.25" hidden="false" customHeight="true" outlineLevel="0" collapsed="false">
      <c r="A3" s="6" t="s">
        <v>600</v>
      </c>
      <c r="B3" s="9" t="s">
        <v>601</v>
      </c>
    </row>
    <row r="4" customFormat="false" ht="29.25" hidden="false" customHeight="true" outlineLevel="0" collapsed="false">
      <c r="A4" s="6" t="s">
        <v>602</v>
      </c>
      <c r="B4" s="9" t="s">
        <v>603</v>
      </c>
    </row>
    <row r="5" customFormat="false" ht="42" hidden="false" customHeight="true" outlineLevel="0" collapsed="false">
      <c r="A5" s="6" t="s">
        <v>604</v>
      </c>
      <c r="B5" s="9" t="s">
        <v>605</v>
      </c>
    </row>
    <row r="6" customFormat="false" ht="42" hidden="false" customHeight="true" outlineLevel="0" collapsed="false">
      <c r="A6" s="6" t="s">
        <v>606</v>
      </c>
      <c r="B6" s="9" t="s">
        <v>607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  <col collapsed="false" customWidth="true" hidden="false" outlineLevel="0" max="3" min="3" style="0" width="50"/>
  </cols>
  <sheetData>
    <row r="1" customFormat="false" ht="30" hidden="false" customHeight="true" outlineLevel="0" collapsed="false">
      <c r="A1" s="3" t="s">
        <v>608</v>
      </c>
      <c r="B1" s="3" t="s">
        <v>609</v>
      </c>
      <c r="C1" s="3" t="s">
        <v>211</v>
      </c>
    </row>
    <row r="2" customFormat="false" ht="54.75" hidden="false" customHeight="true" outlineLevel="0" collapsed="false">
      <c r="A2" s="6" t="s">
        <v>610</v>
      </c>
      <c r="B2" s="9" t="s">
        <v>611</v>
      </c>
      <c r="C2" s="9" t="s">
        <v>612</v>
      </c>
    </row>
    <row r="3" customFormat="false" ht="42" hidden="false" customHeight="true" outlineLevel="0" collapsed="false">
      <c r="A3" s="6" t="s">
        <v>610</v>
      </c>
      <c r="B3" s="9" t="s">
        <v>613</v>
      </c>
      <c r="C3" s="9" t="s">
        <v>614</v>
      </c>
    </row>
    <row r="4" customFormat="false" ht="93" hidden="false" customHeight="true" outlineLevel="0" collapsed="false">
      <c r="A4" s="6" t="s">
        <v>610</v>
      </c>
      <c r="B4" s="9" t="s">
        <v>615</v>
      </c>
      <c r="C4" s="9" t="s">
        <v>616</v>
      </c>
    </row>
    <row r="5" customFormat="false" ht="54.75" hidden="false" customHeight="true" outlineLevel="0" collapsed="false">
      <c r="A5" s="6" t="s">
        <v>610</v>
      </c>
      <c r="B5" s="9" t="s">
        <v>617</v>
      </c>
      <c r="C5" s="9" t="s">
        <v>618</v>
      </c>
    </row>
    <row r="6" customFormat="false" ht="42" hidden="false" customHeight="true" outlineLevel="0" collapsed="false">
      <c r="A6" s="6" t="s">
        <v>610</v>
      </c>
      <c r="B6" s="9" t="s">
        <v>619</v>
      </c>
      <c r="C6" s="9" t="s">
        <v>237</v>
      </c>
    </row>
    <row r="7" customFormat="false" ht="67.5" hidden="false" customHeight="true" outlineLevel="0" collapsed="false">
      <c r="A7" s="6" t="s">
        <v>620</v>
      </c>
      <c r="B7" s="9" t="s">
        <v>621</v>
      </c>
      <c r="C7" s="9" t="s">
        <v>622</v>
      </c>
    </row>
    <row r="8" customFormat="false" ht="54.75" hidden="false" customHeight="true" outlineLevel="0" collapsed="false">
      <c r="A8" s="6" t="s">
        <v>623</v>
      </c>
      <c r="B8" s="9" t="s">
        <v>624</v>
      </c>
      <c r="C8" s="9" t="s">
        <v>237</v>
      </c>
    </row>
    <row r="9" customFormat="false" ht="42" hidden="false" customHeight="true" outlineLevel="0" collapsed="false">
      <c r="A9" s="6" t="s">
        <v>623</v>
      </c>
      <c r="B9" s="9" t="s">
        <v>625</v>
      </c>
      <c r="C9" s="9" t="s">
        <v>626</v>
      </c>
    </row>
    <row r="10" customFormat="false" ht="42" hidden="false" customHeight="true" outlineLevel="0" collapsed="false">
      <c r="A10" s="6" t="s">
        <v>623</v>
      </c>
      <c r="B10" s="9" t="s">
        <v>627</v>
      </c>
      <c r="C10" s="9" t="s">
        <v>237</v>
      </c>
    </row>
    <row r="11" customFormat="false" ht="29.25" hidden="false" customHeight="true" outlineLevel="0" collapsed="false">
      <c r="A11" s="6" t="s">
        <v>623</v>
      </c>
      <c r="B11" s="9" t="s">
        <v>628</v>
      </c>
      <c r="C11" s="9" t="s">
        <v>237</v>
      </c>
    </row>
    <row r="12" customFormat="false" ht="67.5" hidden="false" customHeight="true" outlineLevel="0" collapsed="false">
      <c r="A12" s="6" t="s">
        <v>629</v>
      </c>
      <c r="B12" s="9" t="s">
        <v>630</v>
      </c>
      <c r="C12" s="9" t="s">
        <v>631</v>
      </c>
    </row>
    <row r="13" customFormat="false" ht="42" hidden="false" customHeight="true" outlineLevel="0" collapsed="false">
      <c r="A13" s="6" t="s">
        <v>629</v>
      </c>
      <c r="B13" s="9" t="s">
        <v>632</v>
      </c>
      <c r="C13" s="9" t="s">
        <v>237</v>
      </c>
    </row>
    <row r="14" customFormat="false" ht="42" hidden="false" customHeight="true" outlineLevel="0" collapsed="false">
      <c r="A14" s="6" t="s">
        <v>629</v>
      </c>
      <c r="B14" s="9" t="s">
        <v>633</v>
      </c>
      <c r="C14" s="9" t="s">
        <v>634</v>
      </c>
    </row>
    <row r="15" customFormat="false" ht="54.75" hidden="false" customHeight="true" outlineLevel="0" collapsed="false">
      <c r="A15" s="6" t="s">
        <v>629</v>
      </c>
      <c r="B15" s="9" t="s">
        <v>635</v>
      </c>
      <c r="C15" s="9" t="s">
        <v>636</v>
      </c>
    </row>
    <row r="16" customFormat="false" ht="42" hidden="false" customHeight="true" outlineLevel="0" collapsed="false">
      <c r="A16" s="6" t="s">
        <v>629</v>
      </c>
      <c r="B16" s="9" t="s">
        <v>637</v>
      </c>
      <c r="C16" s="9" t="s">
        <v>638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0"/>
    <col collapsed="false" customWidth="true" hidden="false" outlineLevel="0" max="3" min="3" style="0" width="80"/>
  </cols>
  <sheetData>
    <row r="1" customFormat="false" ht="30" hidden="false" customHeight="true" outlineLevel="0" collapsed="false">
      <c r="A1" s="3" t="s">
        <v>639</v>
      </c>
      <c r="B1" s="3" t="s">
        <v>640</v>
      </c>
      <c r="C1" s="3" t="s">
        <v>641</v>
      </c>
    </row>
    <row r="2" customFormat="false" ht="29.25" hidden="false" customHeight="true" outlineLevel="0" collapsed="false">
      <c r="A2" s="6" t="s">
        <v>642</v>
      </c>
      <c r="B2" s="9" t="s">
        <v>643</v>
      </c>
      <c r="C2" s="19" t="str">
        <f aca="false">HYPERLINK("https://www.bitrix24.ru/journal/blokirovka-telegram/","https://www.bitrix24.ru/journal/blokirovka-telegram/")</f>
        <v>https://www.bitrix24.ru/journal/blokirovka-telegram/</v>
      </c>
    </row>
    <row r="3" customFormat="false" ht="29.25" hidden="false" customHeight="true" outlineLevel="0" collapsed="false">
      <c r="A3" s="6" t="s">
        <v>642</v>
      </c>
      <c r="B3" s="9" t="s">
        <v>644</v>
      </c>
      <c r="C3" s="19" t="str">
        <f aca="false">HYPERLINK("https://vc.ru/telegram/2974687-blokirovka-telegram-i-ischeznoveniye-max","https://vc.ru/telegram/2974687-blokirovka-telegram-i-ischeznoveniye-max")</f>
        <v>https://vc.ru/telegram/2974687-blokirovka-telegram-i-ischeznoveniye-max</v>
      </c>
    </row>
    <row r="4" customFormat="false" ht="29.25" hidden="false" customHeight="true" outlineLevel="0" collapsed="false">
      <c r="A4" s="6" t="s">
        <v>642</v>
      </c>
      <c r="B4" s="9" t="s">
        <v>645</v>
      </c>
      <c r="C4" s="19" t="str">
        <f aca="false">HYPERLINK("https://ppc.world/news/whatsapp-otklyuchat-v-2026-godu-telegram-trogat-ne-budut-deputat-gosdumy/","https://ppc.world/news/whatsapp-otklyuchat-v-2026-godu-telegram-trogat-ne-budut-deputat-gosdumy/")</f>
        <v>https://ppc.world/news/whatsapp-otklyuchat-v-2026-godu-telegram-trogat-ne-budut-deputat-gosdumy/</v>
      </c>
    </row>
    <row r="5" customFormat="false" ht="29.25" hidden="false" customHeight="true" outlineLevel="0" collapsed="false">
      <c r="A5" s="6" t="s">
        <v>642</v>
      </c>
      <c r="B5" s="9" t="s">
        <v>646</v>
      </c>
      <c r="C5" s="19" t="str">
        <f aca="false">HYPERLINK("https://www.sostav.ru/blogs/292093/95285","https://www.sostav.ru/blogs/292093/95285")</f>
        <v>https://www.sostav.ru/blogs/292093/95285</v>
      </c>
    </row>
    <row r="6" customFormat="false" ht="29.25" hidden="false" customHeight="true" outlineLevel="0" collapsed="false">
      <c r="A6" s="6" t="s">
        <v>642</v>
      </c>
      <c r="B6" s="9" t="s">
        <v>647</v>
      </c>
      <c r="C6" s="19" t="str">
        <f aca="false">HYPERLINK("https://secrets.tbank.ru/tehnologii/max-dlya-biznesa/","https://secrets.tbank.ru/tehnologii/max-dlya-biznesa/")</f>
        <v>https://secrets.tbank.ru/tehnologii/max-dlya-biznesa/</v>
      </c>
    </row>
    <row r="7" customFormat="false" ht="42" hidden="false" customHeight="true" outlineLevel="0" collapsed="false">
      <c r="A7" s="6" t="s">
        <v>642</v>
      </c>
      <c r="B7" s="9" t="s">
        <v>648</v>
      </c>
      <c r="C7" s="19" t="str">
        <f aca="false">HYPERLINK("https://meduza.io/news/2025/07/27/kommersant-soobschil-chto-shkolnye-chaty-v-shesti-regionah-rossii-perevedut-v-messendzher-max-v-tatarstane-perehod-podtverdili","https://meduza.io/news/2025/07/27/kommersant-soobschil-chto-shkolnye-chaty-v-shesti-regionah-rossii-perevedut-v-messendzher-max-v-tatarstane-perehod-podtverdili")</f>
        <v>https://meduza.io/news/2025/07/27/kommersant-soobschil-chto-shkolnye-chaty-v-shesti-regionah-rossii-perevedut-v-messendzher-max-v-tatarstane-perehod-podtverdili</v>
      </c>
    </row>
    <row r="8" customFormat="false" ht="29.25" hidden="false" customHeight="true" outlineLevel="0" collapsed="false">
      <c r="A8" s="6" t="s">
        <v>642</v>
      </c>
      <c r="B8" s="9" t="s">
        <v>649</v>
      </c>
      <c r="C8" s="19" t="str">
        <f aca="false">HYPERLINK("https://wnhub.io/ru/news/monetization/item-47819","https://wnhub.io/ru/news/monetization/item-47819")</f>
        <v>https://wnhub.io/ru/news/monetization/item-47819</v>
      </c>
    </row>
    <row r="9" customFormat="false" ht="29.25" hidden="false" customHeight="true" outlineLevel="0" collapsed="false">
      <c r="A9" s="6" t="s">
        <v>642</v>
      </c>
      <c r="B9" s="9" t="s">
        <v>650</v>
      </c>
      <c r="C9" s="19" t="str">
        <f aca="false">HYPERLINK("https://yandex.ru/project/games/for-developers","https://yandex.ru/project/games/for-developers")</f>
        <v>https://yandex.ru/project/games/for-developers</v>
      </c>
    </row>
    <row r="10" customFormat="false" ht="29.25" hidden="false" customHeight="true" outlineLevel="0" collapsed="false">
      <c r="A10" s="6" t="s">
        <v>642</v>
      </c>
      <c r="B10" s="9" t="s">
        <v>651</v>
      </c>
      <c r="C10" s="19" t="str">
        <f aca="false">HYPERLINK("https://www.comnews.ru/content/243534/2026-01-30/2026-w05/1008/moskva-ukrepila-liderstvo-proizvodstve-rossiyskikh-videoigr","https://www.comnews.ru/content/243534/2026-01-30/2026-w05/1008/moskva-ukrepila-liderstvo-proizvodstve-rossiyskikh-videoigr")</f>
        <v>https://www.comnews.ru/content/243534/2026-01-30/2026-w05/1008/moskva-ukrepila-liderstvo-proizvodstve-rossiyskikh-videoigr</v>
      </c>
    </row>
    <row r="11" customFormat="false" ht="29.25" hidden="false" customHeight="true" outlineLevel="0" collapsed="false">
      <c r="A11" s="6" t="s">
        <v>642</v>
      </c>
      <c r="B11" s="9" t="s">
        <v>652</v>
      </c>
      <c r="C11" s="19" t="str">
        <f aca="false">HYPERLINK("https://ppt.ru/news/identifikatsiya-klientov/vvedut-markirovku-i-identifikatsiyu-igrokov-v-videoigrakh","https://ppt.ru/news/identifikatsiya-klientov/vvedut-markirovku-i-identifikatsiyu-igrokov-v-videoigrakh")</f>
        <v>https://ppt.ru/news/identifikatsiya-klientov/vvedut-markirovku-i-identifikatsiyu-igrokov-v-videoigrakh</v>
      </c>
    </row>
    <row r="12" customFormat="false" ht="29.25" hidden="false" customHeight="true" outlineLevel="0" collapsed="false">
      <c r="A12" s="6" t="s">
        <v>642</v>
      </c>
      <c r="B12" s="9" t="s">
        <v>653</v>
      </c>
      <c r="C12" s="19" t="str">
        <f aca="false">HYPERLINK("https://pravo163.ru/zakon-ob-iskusstvennom-intellekte/","https://pravo163.ru/zakon-ob-iskusstvennom-intellekte/")</f>
        <v>https://pravo163.ru/zakon-ob-iskusstvennom-intellekte/</v>
      </c>
    </row>
    <row r="13" customFormat="false" ht="29.25" hidden="false" customHeight="true" outlineLevel="0" collapsed="false">
      <c r="A13" s="6" t="s">
        <v>642</v>
      </c>
      <c r="B13" s="9" t="s">
        <v>654</v>
      </c>
      <c r="C13" s="19" t="str">
        <f aca="false">HYPERLINK("https://novayagazeta.eu/articles/2026/07/09/gosduma-priniala-pervyi-v-rossii-zakon-reguliruiushchii-rabotu-ii","https://novayagazeta.eu/articles/2026/07/09/gosduma-priniala-pervyi-v-rossii-zakon-reguliruiushchii-rabotu-ii")</f>
        <v>https://novayagazeta.eu/articles/2026/07/09/gosduma-priniala-pervyi-v-rossii-zakon-reguliruiushchii-rabotu-ii</v>
      </c>
    </row>
    <row r="14" customFormat="false" ht="29.25" hidden="false" customHeight="true" outlineLevel="0" collapsed="false">
      <c r="A14" s="6" t="s">
        <v>642</v>
      </c>
      <c r="B14" s="9" t="s">
        <v>655</v>
      </c>
      <c r="C14" s="19" t="str">
        <f aca="false">HYPERLINK("https://ppt.ru/obzory/vstupaet-v-silu/federalnyy-zakon-31-07-2025-289-fz","https://ppt.ru/obzory/vstupaet-v-silu/federalnyy-zakon-31-07-2025-289-fz")</f>
        <v>https://ppt.ru/obzory/vstupaet-v-silu/federalnyy-zakon-31-07-2025-289-fz</v>
      </c>
    </row>
    <row r="15" customFormat="false" ht="29.25" hidden="false" customHeight="true" outlineLevel="0" collapsed="false">
      <c r="A15" s="6" t="s">
        <v>642</v>
      </c>
      <c r="B15" s="9" t="s">
        <v>656</v>
      </c>
      <c r="C15" s="19" t="str">
        <f aca="false">HYPERLINK("https://ppt.ru/amp/obzory/vstupaet-v-silu/federalnyy-zakon-01-04-2025-41-fz","https://ppt.ru/amp/obzory/vstupaet-v-silu/federalnyy-zakon-01-04-2025-41-fz")</f>
        <v>https://ppt.ru/amp/obzory/vstupaet-v-silu/federalnyy-zakon-01-04-2025-41-fz</v>
      </c>
    </row>
    <row r="16" customFormat="false" ht="29.25" hidden="false" customHeight="true" outlineLevel="0" collapsed="false">
      <c r="A16" s="6" t="s">
        <v>642</v>
      </c>
      <c r="B16" s="9" t="s">
        <v>657</v>
      </c>
      <c r="C16" s="19" t="str">
        <f aca="false">HYPERLINK("https://www.garant.ru/news/1820251/","https://www.garant.ru/news/1820251/")</f>
        <v>https://www.garant.ru/news/1820251/</v>
      </c>
    </row>
    <row r="17" customFormat="false" ht="29.25" hidden="false" customHeight="true" outlineLevel="0" collapsed="false">
      <c r="A17" s="6" t="s">
        <v>642</v>
      </c>
      <c r="B17" s="9" t="s">
        <v>658</v>
      </c>
      <c r="C17" s="19" t="str">
        <f aca="false">HYPERLINK("https://3dnews.ru/1147409","https://3dnews.ru/1147409")</f>
        <v>https://3dnews.ru/1147409</v>
      </c>
    </row>
    <row r="18" customFormat="false" ht="29.25" hidden="false" customHeight="true" outlineLevel="0" collapsed="false">
      <c r="A18" s="6" t="s">
        <v>642</v>
      </c>
      <c r="B18" s="9" t="s">
        <v>659</v>
      </c>
      <c r="C18" s="19" t="str">
        <f aca="false">HYPERLINK("https://adindex.ru/news/digital/2026/08/25/348304.phtml","https://adindex.ru/news/digital/2026/08/25/348304.phtml")</f>
        <v>https://adindex.ru/news/digital/2026/08/25/348304.phtml</v>
      </c>
    </row>
    <row r="19" customFormat="false" ht="29.25" hidden="false" customHeight="true" outlineLevel="0" collapsed="false">
      <c r="A19" s="6" t="s">
        <v>642</v>
      </c>
      <c r="B19" s="9" t="s">
        <v>660</v>
      </c>
      <c r="C19" s="19" t="str">
        <f aca="false">HYPERLINK("https://developers.sber.ru/docs/ru/gigachat/tariffs/legal-tariffs","https://developers.sber.ru/docs/ru/gigachat/tariffs/legal-tariffs")</f>
        <v>https://developers.sber.ru/docs/ru/gigachat/tariffs/legal-tariffs</v>
      </c>
    </row>
    <row r="20" customFormat="false" ht="29.25" hidden="false" customHeight="true" outlineLevel="0" collapsed="false">
      <c r="A20" s="6" t="s">
        <v>642</v>
      </c>
      <c r="B20" s="9" t="s">
        <v>661</v>
      </c>
      <c r="C20" s="19" t="str">
        <f aca="false">HYPERLINK("https://vc.ru/services/3012698-sposoby-oplaty-podpiski-duolingo-iz-rossii","https://vc.ru/services/3012698-sposoby-oplaty-podpiski-duolingo-iz-rossii")</f>
        <v>https://vc.ru/services/3012698-sposoby-oplaty-podpiski-duolingo-iz-rossii</v>
      </c>
    </row>
    <row r="21" customFormat="false" ht="29.25" hidden="false" customHeight="true" outlineLevel="0" collapsed="false">
      <c r="A21" s="6" t="s">
        <v>642</v>
      </c>
      <c r="B21" s="9" t="s">
        <v>662</v>
      </c>
      <c r="C21" s="19" t="str">
        <f aca="false">HYPERLINK("https://www.anti-malware.ru/news/2026-01-29-121598/48865","https://www.anti-malware.ru/news/2026-01-29-121598/48865")</f>
        <v>https://www.anti-malware.ru/news/2026-01-29-121598/48865</v>
      </c>
    </row>
    <row r="22" customFormat="false" ht="29.25" hidden="false" customHeight="true" outlineLevel="0" collapsed="false">
      <c r="A22" s="6" t="s">
        <v>663</v>
      </c>
      <c r="B22" s="9" t="s">
        <v>664</v>
      </c>
      <c r="C22" s="19" t="str">
        <f aca="false">HYPERLINK("https://t-j.ru/5bukv-game-stat/","https://t-j.ru/5bukv-game-stat/")</f>
        <v>https://t-j.ru/5bukv-game-stat/</v>
      </c>
    </row>
    <row r="23" customFormat="false" ht="29.25" hidden="false" customHeight="true" outlineLevel="0" collapsed="false">
      <c r="A23" s="6" t="s">
        <v>663</v>
      </c>
      <c r="B23" s="9" t="s">
        <v>665</v>
      </c>
      <c r="C23" s="19" t="str">
        <f aca="false">HYPERLINK("https://www.jackboxgames.com/how-to","https://www.jackboxgames.com/how-to")</f>
        <v>https://www.jackboxgames.com/how-to</v>
      </c>
    </row>
    <row r="24" customFormat="false" ht="29.25" hidden="false" customHeight="true" outlineLevel="0" collapsed="false">
      <c r="A24" s="6" t="s">
        <v>663</v>
      </c>
      <c r="B24" s="9" t="s">
        <v>666</v>
      </c>
      <c r="C24" s="19" t="str">
        <f aca="false">HYPERLINK("https://naked-science.ru/article/media/onlaine-game-geoguessr","https://naked-science.ru/article/media/onlaine-game-geoguessr")</f>
        <v>https://naked-science.ru/article/media/onlaine-game-geoguessr</v>
      </c>
    </row>
    <row r="25" customFormat="false" ht="29.25" hidden="false" customHeight="true" outlineLevel="0" collapsed="false">
      <c r="A25" s="6" t="s">
        <v>663</v>
      </c>
      <c r="B25" s="9" t="s">
        <v>667</v>
      </c>
      <c r="C25" s="19" t="str">
        <f aca="false">HYPERLINK("https://www.rustore.ru/catalog/app/com.nutrisync.advanced","https://www.rustore.ru/catalog/app/com.nutrisync.advanced")</f>
        <v>https://www.rustore.ru/catalog/app/com.nutrisync.advanced</v>
      </c>
    </row>
    <row r="26" customFormat="false" ht="29.25" hidden="false" customHeight="true" outlineLevel="0" collapsed="false">
      <c r="A26" s="6" t="s">
        <v>663</v>
      </c>
      <c r="B26" s="9" t="s">
        <v>668</v>
      </c>
      <c r="C26" s="19" t="str">
        <f aca="false">HYPERLINK("https://www.rustore.ru/catalog/app/com.foodwarz.mobile","https://www.rustore.ru/catalog/app/com.foodwarz.mobile")</f>
        <v>https://www.rustore.ru/catalog/app/com.foodwarz.mobile</v>
      </c>
    </row>
    <row r="27" customFormat="false" ht="29.25" hidden="false" customHeight="true" outlineLevel="0" collapsed="false">
      <c r="A27" s="6" t="s">
        <v>663</v>
      </c>
      <c r="B27" s="9" t="s">
        <v>669</v>
      </c>
      <c r="C27" s="19" t="str">
        <f aca="false">HYPERLINK("https://www.tastingtable.com/1859085/dinner-parties-with-strangers-timeleft","https://www.tastingtable.com/1859085/dinner-parties-with-strangers-timeleft")</f>
        <v>https://www.tastingtable.com/1859085/dinner-parties-with-strangers-timeleft</v>
      </c>
    </row>
    <row r="28" customFormat="false" ht="29.25" hidden="false" customHeight="true" outlineLevel="0" collapsed="false">
      <c r="A28" s="6" t="s">
        <v>663</v>
      </c>
      <c r="B28" s="9" t="s">
        <v>670</v>
      </c>
      <c r="C28" s="19" t="str">
        <f aca="false">HYPERLINK("https://daily.afisha.ru/archive/gorod/archive/behind-stay-hungry/","https://daily.afisha.ru/archive/gorod/archive/behind-stay-hungry/")</f>
        <v>https://daily.afisha.ru/archive/gorod/archive/behind-stay-hungry/</v>
      </c>
    </row>
    <row r="29" customFormat="false" ht="29.25" hidden="false" customHeight="true" outlineLevel="0" collapsed="false">
      <c r="A29" s="6" t="s">
        <v>663</v>
      </c>
      <c r="B29" s="9" t="s">
        <v>671</v>
      </c>
      <c r="C29" s="19" t="str">
        <f aca="false">HYPERLINK("https://storii.com/blog/storyworth","https://storii.com/blog/storyworth")</f>
        <v>https://storii.com/blog/storyworth</v>
      </c>
    </row>
    <row r="30" customFormat="false" ht="29.25" hidden="false" customHeight="true" outlineLevel="0" collapsed="false">
      <c r="A30" s="6" t="s">
        <v>663</v>
      </c>
      <c r="B30" s="9" t="s">
        <v>672</v>
      </c>
      <c r="C30" s="19" t="str">
        <f aca="false">HYPERLINK("https://www.homecaremag.com/news/joy-calls-launches-ai-phone-companion-seniors","https://www.homecaremag.com/news/joy-calls-launches-ai-phone-companion-seniors")</f>
        <v>https://www.homecaremag.com/news/joy-calls-launches-ai-phone-companion-seniors</v>
      </c>
    </row>
    <row r="31" customFormat="false" ht="29.25" hidden="false" customHeight="true" outlineLevel="0" collapsed="false">
      <c r="A31" s="6" t="s">
        <v>663</v>
      </c>
      <c r="B31" s="9" t="s">
        <v>673</v>
      </c>
      <c r="C31" s="19" t="str">
        <f aca="false">HYPERLINK("https://www.businesswire.com/news/home/20250911525548/en/Meela-Launches-Personalized-AI-Companion-to-Combat-Loneliness-Epidemic-Among-Seniors","https://www.businesswire.com/news/home/20250911525548/en/Meela-Launches-Personalized-AI-Companion-to-Combat-Loneliness-Epidemic-Among-Seniors")</f>
        <v>https://www.businesswire.com/news/home/20250911525548/en/Meela-Launches-Personalized-AI-Companion-to-Combat-Loneliness-Epidemic-Among-Seniors</v>
      </c>
    </row>
    <row r="32" customFormat="false" ht="29.25" hidden="false" customHeight="true" outlineLevel="0" collapsed="false">
      <c r="A32" s="6" t="s">
        <v>663</v>
      </c>
      <c r="B32" s="9" t="s">
        <v>674</v>
      </c>
      <c r="C32" s="19" t="str">
        <f aca="false">HYPERLINK("https://rozetked.me/index.php/news/47910-analitika-bol-she-poloviny-rossiyan-ispol-zuyut-ii-servisy-cifrovoy-zaschity","https://rozetked.me/index.php/news/47910-analitika-bol-she-poloviny-rossiyan-ispol-zuyut-ii-servisy-cifrovoy-zaschity")</f>
        <v>https://rozetked.me/index.php/news/47910-analitika-bol-she-poloviny-rossiyan-ispol-zuyut-ii-servisy-cifrovoy-zaschity</v>
      </c>
    </row>
    <row r="33" customFormat="false" ht="42" hidden="false" customHeight="true" outlineLevel="0" collapsed="false">
      <c r="A33" s="6" t="s">
        <v>663</v>
      </c>
      <c r="B33" s="9" t="s">
        <v>675</v>
      </c>
      <c r="C33" s="19" t="str">
        <f aca="false">HYPERLINK("https://apps.apple.com/us/app/%D0%BA%D0%B8%D1%82%D0%B0%D0%B9%D1%81%D0%BA%D0%B8%D0%B9-%D1%8F%D0%B7%D1%8B%D0%BA-%D1%81-%D0%BB%D0%B0%D0%BE%D1%88%D0%B8/id1510215770?l=ru","https://apps.apple.com/us/app/%D0%BA%D0%B8%D1%82%D0%B0%D0%B9%D1%81%D0%BA%D0%B8%D0%B9-%D1%8F%D0%B7%D1%8B%D0%BA-%D1%81-%D0%BB%D0%B0%D0%BE%D1%88%D0%B8/id1510215770?l=ru")</f>
        <v>https://apps.apple.com/us/app/%D0%BA%D0%B8%D1%82%D0%B0%D0%B9%D1%81%D0%BA%D0%B8%D0%B9-%D1%8F%D0%B7%D1%8B%D0%BA-%D1%81-%D0%BB%D0%B0%D0%BE%D1%88%D0%B8/id1510215770?l=ru</v>
      </c>
    </row>
    <row r="34" customFormat="false" ht="29.25" hidden="false" customHeight="true" outlineLevel="0" collapsed="false">
      <c r="A34" s="6" t="s">
        <v>663</v>
      </c>
      <c r="B34" s="9" t="s">
        <v>676</v>
      </c>
      <c r="C34" s="19" t="str">
        <f aca="false">HYPERLINK("https://yandex.cloud/ru/cases/aipushkin","https://yandex.cloud/ru/cases/aipushkin")</f>
        <v>https://yandex.cloud/ru/cases/aipushkin</v>
      </c>
    </row>
    <row r="35" customFormat="false" ht="29.25" hidden="false" customHeight="true" outlineLevel="0" collapsed="false">
      <c r="A35" s="6" t="s">
        <v>663</v>
      </c>
      <c r="B35" s="9" t="s">
        <v>677</v>
      </c>
      <c r="C35" s="19" t="str">
        <f aca="false">HYPERLINK("https://developers.sber.ru/help/gigachat-api/ai-for-teachers","https://developers.sber.ru/help/gigachat-api/ai-for-teachers")</f>
        <v>https://developers.sber.ru/help/gigachat-api/ai-for-teachers</v>
      </c>
    </row>
    <row r="36" customFormat="false" ht="29.25" hidden="false" customHeight="true" outlineLevel="0" collapsed="false">
      <c r="A36" s="6" t="s">
        <v>663</v>
      </c>
      <c r="B36" s="9" t="s">
        <v>678</v>
      </c>
      <c r="C36" s="19" t="str">
        <f aca="false">HYPERLINK("https://apps.apple.com/ru/app/id6471586789","https://apps.apple.com/ru/app/id6471586789")</f>
        <v>https://apps.apple.com/ru/app/id6471586789</v>
      </c>
    </row>
    <row r="37" customFormat="false" ht="29.25" hidden="false" customHeight="true" outlineLevel="0" collapsed="false">
      <c r="A37" s="6" t="s">
        <v>663</v>
      </c>
      <c r="B37" s="9" t="s">
        <v>679</v>
      </c>
      <c r="C37" s="19" t="str">
        <f aca="false">HYPERLINK("https://pravoved.ru/documents/new/claim/","https://pravoved.ru/documents/new/claim/")</f>
        <v>https://pravoved.ru/documents/new/claim/</v>
      </c>
    </row>
    <row r="38" customFormat="false" ht="29.25" hidden="false" customHeight="true" outlineLevel="0" collapsed="false">
      <c r="A38" s="6" t="s">
        <v>663</v>
      </c>
      <c r="B38" s="9" t="s">
        <v>680</v>
      </c>
      <c r="C38" s="19" t="str">
        <f aca="false">HYPERLINK("https://vitvet.com/articles/bankrotstvo/vnesudebnoe_bankrotstvo_mfc/","https://vitvet.com/articles/bankrotstvo/vnesudebnoe_bankrotstvo_mfc/")</f>
        <v>https://vitvet.com/articles/bankrotstvo/vnesudebnoe_bankrotstvo_mfc/</v>
      </c>
    </row>
    <row r="39" customFormat="false" ht="29.25" hidden="false" customHeight="true" outlineLevel="0" collapsed="false">
      <c r="A39" s="6" t="s">
        <v>663</v>
      </c>
      <c r="B39" s="9" t="s">
        <v>681</v>
      </c>
      <c r="C39" s="19" t="str">
        <f aca="false">HYPERLINK("https://finuslugi.ru/navigator/kak-ehto-rabotaet/stat_semeynaya-nalogovaya-vyplata-v-2026-godu","https://finuslugi.ru/navigator/kak-ehto-rabotaet/stat_semeynaya-nalogovaya-vyplata-v-2026-godu")</f>
        <v>https://finuslugi.ru/navigator/kak-ehto-rabotaet/stat_semeynaya-nalogovaya-vyplata-v-2026-godu</v>
      </c>
    </row>
    <row r="40" customFormat="false" ht="29.25" hidden="false" customHeight="true" outlineLevel="0" collapsed="false">
      <c r="A40" s="6" t="s">
        <v>663</v>
      </c>
      <c r="B40" s="9" t="s">
        <v>682</v>
      </c>
      <c r="C40" s="19" t="str">
        <f aca="false">HYPERLINK("https://workspace.ru/cases/puteshestviya-po-rossii-ot-neyroseti/","https://workspace.ru/cases/puteshestviya-po-rossii-ot-neyroseti/")</f>
        <v>https://workspace.ru/cases/puteshestviya-po-rossii-ot-neyroseti/</v>
      </c>
    </row>
    <row r="41" customFormat="false" ht="29.25" hidden="false" customHeight="true" outlineLevel="0" collapsed="false">
      <c r="A41" s="6" t="s">
        <v>663</v>
      </c>
      <c r="B41" s="9" t="s">
        <v>683</v>
      </c>
      <c r="C41" s="19" t="str">
        <f aca="false">HYPERLINK("https://t-j.ru/smogut-li-prizhitsia-v-rossii-servisy-po-spaseniiu-edy/","https://t-j.ru/smogut-li-prizhitsia-v-rossii-servisy-po-spaseniiu-edy/")</f>
        <v>https://t-j.ru/smogut-li-prizhitsia-v-rossii-servisy-po-spaseniiu-edy/</v>
      </c>
    </row>
    <row r="42" customFormat="false" ht="29.25" hidden="false" customHeight="true" outlineLevel="0" collapsed="false">
      <c r="A42" s="6" t="s">
        <v>663</v>
      </c>
      <c r="B42" s="9" t="s">
        <v>684</v>
      </c>
      <c r="C42" s="19" t="str">
        <f aca="false">HYPERLINK("https://www.rustore.ru/catalog/app/ru.dacha.app","https://www.rustore.ru/catalog/app/ru.dacha.app")</f>
        <v>https://www.rustore.ru/catalog/app/ru.dacha.app</v>
      </c>
    </row>
    <row r="43" customFormat="false" ht="29.25" hidden="false" customHeight="true" outlineLevel="0" collapsed="false">
      <c r="A43" s="6" t="s">
        <v>663</v>
      </c>
      <c r="B43" s="9" t="s">
        <v>685</v>
      </c>
      <c r="C43" s="19" t="str">
        <f aca="false">HYPERLINK("https://t-j.ru/discount-aggregators/","https://t-j.ru/discount-aggregators/")</f>
        <v>https://t-j.ru/discount-aggregators/</v>
      </c>
    </row>
    <row r="44" customFormat="false" ht="29.25" hidden="false" customHeight="true" outlineLevel="0" collapsed="false">
      <c r="A44" s="6" t="s">
        <v>663</v>
      </c>
      <c r="B44" s="9" t="s">
        <v>686</v>
      </c>
      <c r="C44" s="19" t="str">
        <f aca="false">HYPERLINK("https://www.stork.ai/collections/ru/ai-receptionists-salon","https://www.stork.ai/collections/ru/ai-receptionists-salon")</f>
        <v>https://www.stork.ai/collections/ru/ai-receptionists-salon</v>
      </c>
    </row>
    <row r="45" customFormat="false" ht="29.25" hidden="false" customHeight="true" outlineLevel="0" collapsed="false">
      <c r="A45" s="6" t="s">
        <v>663</v>
      </c>
      <c r="B45" s="9" t="s">
        <v>687</v>
      </c>
      <c r="C45" s="19" t="str">
        <f aca="false">HYPERLINK("https://lifehacker.ru/yousician-guitar/","https://lifehacker.ru/yousician-guitar/")</f>
        <v>https://lifehacker.ru/yousician-guitar/</v>
      </c>
    </row>
    <row r="46" customFormat="false" ht="29.25" hidden="false" customHeight="true" outlineLevel="0" collapsed="false">
      <c r="A46" s="6" t="s">
        <v>663</v>
      </c>
      <c r="B46" s="9" t="s">
        <v>688</v>
      </c>
      <c r="C46" s="19" t="str">
        <f aca="false">HYPERLINK("https://www1.ru/news/2025/04/25/ne-brat-ty-mne-audiotrenazer-ot-bilain-pomozet-otlicit-mosennika-ot-blizkogo.amp.html","https://www1.ru/news/2025/04/25/ne-brat-ty-mne-audiotrenazer-ot-bilain-pomozet-otlicit-mosennika-ot-blizkogo.amp.html")</f>
        <v>https://www1.ru/news/2025/04/25/ne-brat-ty-mne-audiotrenazer-ot-bilain-pomozet-otlicit-mosennika-ot-blizkogo.amp.html</v>
      </c>
    </row>
    <row r="47" customFormat="false" ht="29.25" hidden="false" customHeight="true" outlineLevel="0" collapsed="false">
      <c r="A47" s="6" t="s">
        <v>663</v>
      </c>
      <c r="B47" s="9" t="s">
        <v>689</v>
      </c>
      <c r="C47" s="19" t="str">
        <f aca="false">HYPERLINK("https://www.producthunt.com/posts/scamdrill","https://www.producthunt.com/posts/scamdrill")</f>
        <v>https://www.producthunt.com/posts/scamdrill</v>
      </c>
    </row>
    <row r="48" customFormat="false" ht="29.25" hidden="false" customHeight="true" outlineLevel="0" collapsed="false">
      <c r="A48" s="6" t="s">
        <v>663</v>
      </c>
      <c r="B48" s="9" t="s">
        <v>690</v>
      </c>
      <c r="C48" s="19" t="str">
        <f aca="false">HYPERLINK("https://rg.ru/post/kak-proverit-nachisleniia-za-kommunalnye-uslugi-i-ne-pereplatit-za-zhkh.html","https://rg.ru/post/kak-proverit-nachisleniia-za-kommunalnye-uslugi-i-ne-pereplatit-za-zhkh.html")</f>
        <v>https://rg.ru/post/kak-proverit-nachisleniia-za-kommunalnye-uslugi-i-ne-pereplatit-za-zhkh.html</v>
      </c>
    </row>
    <row r="49" customFormat="false" ht="42" hidden="false" customHeight="true" outlineLevel="0" collapsed="false">
      <c r="A49" s="6" t="s">
        <v>663</v>
      </c>
      <c r="B49" s="9" t="s">
        <v>691</v>
      </c>
      <c r="C49" s="19" t="str">
        <f aca="false">HYPERLINK("https://spark.ru/startup/vs-na-strojku/blog/350477/sdelal-servis-kotorij-proveryaet-smeti-na-remont-za-pervuyu-nedelyu-nashli-pereplat-na-1-5-milliona-rublej","https://spark.ru/startup/vs-na-strojku/blog/350477/sdelal-servis-kotorij-proveryaet-smeti-na-remont-za-pervuyu-nedelyu-nashli-pereplat-na-1-5-milliona-rublej")</f>
        <v>https://spark.ru/startup/vs-na-strojku/blog/350477/sdelal-servis-kotorij-proveryaet-smeti-na-remont-za-pervuyu-nedelyu-nashli-pereplat-na-1-5-milliona-rublej</v>
      </c>
    </row>
    <row r="50" customFormat="false" ht="29.25" hidden="false" customHeight="true" outlineLevel="0" collapsed="false">
      <c r="A50" s="6" t="s">
        <v>663</v>
      </c>
      <c r="B50" s="9" t="s">
        <v>692</v>
      </c>
      <c r="C50" s="19" t="str">
        <f aca="false">HYPERLINK("https://dtf.ru/indie/5178362-rezhim-zhivye-podozrevaemye-v-case-zero","https://dtf.ru/indie/5178362-rezhim-zhivye-podozrevaemye-v-case-zero")</f>
        <v>https://dtf.ru/indie/5178362-rezhim-zhivye-podozrevaemye-v-case-zero</v>
      </c>
    </row>
    <row r="51" customFormat="false" ht="29.25" hidden="false" customHeight="true" outlineLevel="0" collapsed="false">
      <c r="A51" s="6" t="s">
        <v>663</v>
      </c>
      <c r="B51" s="9" t="s">
        <v>693</v>
      </c>
      <c r="C51" s="19" t="str">
        <f aca="false">HYPERLINK("https://www.sostav.ru/blogs/290467/88610","https://www.sostav.ru/blogs/290467/88610")</f>
        <v>https://www.sostav.ru/blogs/290467/88610</v>
      </c>
    </row>
    <row r="52" customFormat="false" ht="29.25" hidden="false" customHeight="true" outlineLevel="0" collapsed="false">
      <c r="A52" s="6" t="s">
        <v>663</v>
      </c>
      <c r="B52" s="9" t="s">
        <v>694</v>
      </c>
      <c r="C52" s="19" t="str">
        <f aca="false">HYPERLINK("https://a2is.ru/catalog/messendzhery-dlya-komandnoy-raboty/skrini","https://a2is.ru/catalog/messendzhery-dlya-komandnoy-raboty/skrini")</f>
        <v>https://a2is.ru/catalog/messendzhery-dlya-komandnoy-raboty/skrini</v>
      </c>
    </row>
    <row r="53" customFormat="false" ht="29.25" hidden="false" customHeight="true" outlineLevel="0" collapsed="false">
      <c r="A53" s="6" t="s">
        <v>663</v>
      </c>
      <c r="B53" s="9" t="s">
        <v>695</v>
      </c>
      <c r="C53" s="19" t="str">
        <f aca="false">HYPERLINK("https://www.iphones.ru/iNotes/mts-web-services-otkryla-besplatnyy-dostup-k-servisu-dlya-obmena-asinhronnymi-video","https://www.iphones.ru/iNotes/mts-web-services-otkryla-besplatnyy-dostup-k-servisu-dlya-obmena-asinhronnymi-video")</f>
        <v>https://www.iphones.ru/iNotes/mts-web-services-otkryla-besplatnyy-dostup-k-servisu-dlya-obmena-asinhronnymi-video</v>
      </c>
    </row>
    <row r="54" customFormat="false" ht="29.25" hidden="false" customHeight="true" outlineLevel="0" collapsed="false">
      <c r="A54" s="6" t="s">
        <v>663</v>
      </c>
      <c r="B54" s="9" t="s">
        <v>696</v>
      </c>
      <c r="C54" s="19" t="str">
        <f aca="false">HYPERLINK("https://vc.ru/services/3041069-konstruktor-saytov-svadb-privlecheniy","https://vc.ru/services/3041069-konstruktor-saytov-svadb-privlecheniy")</f>
        <v>https://vc.ru/services/3041069-konstruktor-saytov-svadb-privlecheniy</v>
      </c>
    </row>
    <row r="55" customFormat="false" ht="29.25" hidden="false" customHeight="true" outlineLevel="0" collapsed="false">
      <c r="A55" s="6" t="s">
        <v>663</v>
      </c>
      <c r="B55" s="9" t="s">
        <v>697</v>
      </c>
      <c r="C55" s="19" t="str">
        <f aca="false">HYPERLINK("https://www.rustore.ru/catalog/app/ru.komod.app","https://www.rustore.ru/catalog/app/ru.komod.app")</f>
        <v>https://www.rustore.ru/catalog/app/ru.komod.app</v>
      </c>
    </row>
    <row r="56" customFormat="false" ht="29.25" hidden="false" customHeight="true" outlineLevel="0" collapsed="false">
      <c r="A56" s="6" t="s">
        <v>663</v>
      </c>
      <c r="B56" s="9" t="s">
        <v>698</v>
      </c>
      <c r="C56" s="19" t="str">
        <f aca="false">HYPERLINK("https://www.rustore.ru/catalog/app/click.opora.app","https://www.rustore.ru/catalog/app/click.opora.app")</f>
        <v>https://www.rustore.ru/catalog/app/click.opora.app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2026-10-21T09:38:08Z</dcterms:created>
  <dc:creator>Анализ</dc:creator>
  <dc:description/>
  <dc:language>ru-RU</dc:language>
  <cp:lastModifiedBy/>
  <dcterms:modified xsi:type="dcterms:W3CDTF">2026-10-21T09:38:08Z</dcterms:modified>
  <cp:revision>0</cp:revision>
  <dc:subject/>
  <dc:title>Онлайн-сервисы для России — 34 идеи (октябрь 2026)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